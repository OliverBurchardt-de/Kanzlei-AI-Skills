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2090b09d143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beitspapier" sheetId="1" r:id="R8171e3ea62e14f9c"/>
    <x:sheet xmlns:r="http://schemas.openxmlformats.org/officeDocument/2006/relationships" name="Kontenabgleich" sheetId="2" r:id="Rb53d3f2d8e2a407d"/>
    <x:sheet xmlns:r="http://schemas.openxmlformats.org/officeDocument/2006/relationships" name="Nachtrag" sheetId="3" r:id="R258de82d751c4cad"/>
    <x:sheet xmlns:r="http://schemas.openxmlformats.org/officeDocument/2006/relationships" name="Aufteilung 2024-25" sheetId="4" r:id="Ra9fa776878a24b4c"/>
    <x:sheet xmlns:r="http://schemas.openxmlformats.org/officeDocument/2006/relationships" name="Mandantenzeilen" sheetId="5" r:id="R7806383276214687"/>
    <x:sheet xmlns:r="http://schemas.openxmlformats.org/officeDocument/2006/relationships" name="DATEV 31.12.24" sheetId="6" r:id="R50117442241c4fe3"/>
    <x:sheet xmlns:r="http://schemas.openxmlformats.org/officeDocument/2006/relationships" name="Zahlungstracker" sheetId="7" r:id="R20786b31deb44548"/>
    <x:sheet xmlns:r="http://schemas.openxmlformats.org/officeDocument/2006/relationships" name="Stornoliste" sheetId="8" r:id="Rc01e9c0ee497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–"/>
    <x:numFmt numFmtId="201" formatCode="dd.mm.yyyy"/>
    <x:numFmt numFmtId="202" formatCode="0"/>
  </x:numFmts>
  <x:fonts count="8">
    <x:font>
      <x:sz val="11"/>
      <x:name val="Carlito"/>
    </x:font>
    <x:font>
      <x:sz val="10"/>
      <x:color rgb="FF24313A"/>
      <x:name val="Arial"/>
    </x:font>
    <x:font>
      <x:b/>
      <x:sz val="10"/>
      <x:color rgb="FFFFFFFF"/>
      <x:name val="Arial"/>
    </x:font>
    <x:font>
      <x:b/>
      <x:sz val="15"/>
      <x:color rgb="FF18334B"/>
      <x:name val="Arial"/>
    </x:font>
    <x:font>
      <x:i/>
      <x:sz val="10"/>
      <x:color rgb="FF536776"/>
      <x:name val="Arial"/>
    </x:font>
    <x:font>
      <x:b/>
      <x:sz val="11"/>
      <x:color rgb="FF18334B"/>
      <x:name val="Arial"/>
    </x:font>
    <x:font>
      <x:sz val="10"/>
      <x:color rgb="FF7C3D11"/>
      <x:name val="Arial"/>
    </x:font>
    <x:font>
      <x:sz val="10"/>
      <x:color rgb="FF45556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34B"/>
      </x:patternFill>
    </x:fill>
    <x:fill>
      <x:patternFill patternType="solid">
        <x:fgColor rgb="FFE8F2F1"/>
      </x:patternFill>
    </x:fill>
    <x:fill>
      <x:patternFill patternType="solid">
        <x:fgColor rgb="FFFFF2D4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42736de854035" /><Relationship Type="http://schemas.openxmlformats.org/officeDocument/2006/relationships/theme" Target="/xl/theme/theme1.xml" Id="Ra3db5814ad304ce2" /><Relationship Type="http://schemas.openxmlformats.org/officeDocument/2006/relationships/sharedStrings" Target="/xl/sharedStrings.xml" Id="R6eddca3210594b25" /><Relationship Type="http://schemas.openxmlformats.org/officeDocument/2006/relationships/worksheet" Target="/xl/worksheets/sheet1.xml" Id="R8171e3ea62e14f9c" /><Relationship Type="http://schemas.openxmlformats.org/officeDocument/2006/relationships/worksheet" Target="/xl/worksheets/sheet2.xml" Id="Rb53d3f2d8e2a407d" /><Relationship Type="http://schemas.openxmlformats.org/officeDocument/2006/relationships/worksheet" Target="/xl/worksheets/sheet3.xml" Id="R258de82d751c4cad" /><Relationship Type="http://schemas.openxmlformats.org/officeDocument/2006/relationships/worksheet" Target="/xl/worksheets/sheet4.xml" Id="Ra9fa776878a24b4c" /><Relationship Type="http://schemas.openxmlformats.org/officeDocument/2006/relationships/worksheet" Target="/xl/worksheets/sheet5.xml" Id="R7806383276214687" /><Relationship Type="http://schemas.openxmlformats.org/officeDocument/2006/relationships/worksheet" Target="/xl/worksheets/sheet6.xml" Id="R50117442241c4fe3" /><Relationship Type="http://schemas.openxmlformats.org/officeDocument/2006/relationships/worksheet" Target="/xl/worksheets/sheet7.xml" Id="R20786b31deb44548" /><Relationship Type="http://schemas.openxmlformats.org/officeDocument/2006/relationships/worksheet" Target="/xl/worksheets/sheet8.xml" Id="Rc01e9c0ee4974b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34B"/>
  </x:sheetPr>
  <x:sheetViews>
    <x:sheetView showGridLines="0" workbookViewId="0"/>
  </x:sheetViews>
  <x:sheetFormatPr defaultRowHeight="15"/>
  <x:cols>
    <x:col min="1" max="1" width="39" hidden="0" customWidth="1"/>
    <x:col min="2" max="2" width="33" hidden="0" customWidth="1"/>
    <x:col min="3" max="3" width="19" hidden="0" customWidth="1"/>
    <x:col min="4" max="4" width="27" hidden="0" customWidth="1"/>
    <x:col min="5" max="5" width="75" hidden="0" customWidth="1"/>
    <x:col min="6" max="6" width="7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9" t="str">
        <x:v>Jamso Trainee | Arbeitspapier zur OPOS-Bereinigung</x:v>
      </x:c>
      <x:c r="B2" s="9"/>
      <x:c r="C2" s="9"/>
      <x:c r="D2" s="9"/>
      <x:c r="E2" s="9"/>
      <x:c r="F2" s="9"/>
      <x:c r="G2" s="2"/>
      <x:c r="H2" s="2"/>
      <x:c r="I2" s="2"/>
      <x:c r="J2" s="2"/>
      <x:c r="K2" s="2"/>
      <x:c r="L2" s="2"/>
      <x:c r="M2" s="2"/>
      <x:c r="N2" s="2"/>
    </x:row>
    <x:row r="3">
      <x:c r="A3" s="10" t="str">
        <x:v>DATEV-Stichtag 31.12.2024 · Mandantenliste laut Vorgabe aktueller Stand zum 20.09.2026</x:v>
      </x:c>
      <x:c r="B3" s="10"/>
      <x:c r="C3" s="10"/>
      <x:c r="D3" s="10"/>
      <x:c r="E3" s="10"/>
      <x:c r="F3" s="10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9" customHeight="1">
      <x:c r="A5" s="12" t="str">
        <x:v>Belegte Forderungsausbuchung jetzt</x:v>
      </x:c>
      <x:c r="B5" s="19" t="n">
        <x:v>0</x:v>
      </x:c>
      <x:c r="C5" s="13" t="str">
        <x:v>Aus den vorliegenden Listen ist kein endgültiger Forderungsausfall belegt.</x:v>
      </x:c>
      <x:c r="D5" s="13"/>
      <x:c r="E5" s="13"/>
      <x:c r="F5" s="13"/>
      <x:c r="G5" s="2"/>
      <x:c r="H5" s="2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0" customHeight="1">
      <x:c r="A7" s="4" t="str">
        <x:v>Kennzahl</x:v>
      </x:c>
      <x:c r="B7" s="4" t="str">
        <x:v>EUR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Excel-Hauptliste, D minus E</x:v>
      </x:c>
      <x:c r="B8" s="5" t="n">
        <x:f>SUMIFS('Mandantenzeilen'!$L$5:$L$175,'Mandantenzeilen'!$B$5:$B$175,"Hauptliste")</x:f>
        <x:v>87114.51</x:v>
      </x:c>
      <x:c r="C8" s="2" t="str">
        <x:v>Ohne übernommene Ergebniswerte der Originaldatei.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1" t="str">
        <x:v>davon 2023-Sammelposten 10069</x:v>
      </x:c>
      <x:c r="B9" s="22" t="n">
        <x:f>SUMIFS('Mandantenzeilen'!$L$5:$L$175,'Mandantenzeilen'!$D$5:$D$175,10069,'Mandantenzeilen'!$B$5:$B$175,"Hauptliste")</x:f>
        <x:v>56387.06999999999</x:v>
      </x:c>
      <x:c r="C9" s="21" t="str">
        <x:v>Kein belegter Saldo einzelner Rechnungen.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str">
        <x:v>übrige Einzelkonten, netto</x:v>
      </x:c>
      <x:c r="B10" s="5" t="n">
        <x:f>B8-B9</x:f>
        <x:v>30727.440000000002</x:v>
      </x:c>
      <x:c r="C10" s="2" t="str">
        <x:v>Enthält auch negative Salden und einen 2023er Rechnungsbezug.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Excel-Hauptliste rechnerisch 31.12.24</x:v>
      </x:c>
      <x:c r="B11" s="5" t="n">
        <x:f>SUMIFS('Mandantenzeilen'!$M$5:$M$175,'Mandantenzeilen'!$B$5:$B$175,"Hauptliste")</x:f>
        <x:v>102675.71</x:v>
      </x:c>
      <x:c r="C11" s="2" t="str">
        <x:v>Nur aus Quelldaten und Zahlungsdaten rekonstruiert; nicht DATEV-bestätigt.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Zahlungen nach Summenzeile, separat</x:v>
      </x:c>
      <x:c r="B12" s="5" t="n">
        <x:f>SUM('Nachtrag'!$D$5:$D$28)</x:f>
        <x:v>67466.19999999998</x:v>
      </x:c>
      <x:c r="C12" s="2" t="str">
        <x:v>Aufteilung 2024/25: viele Zahlungen passen zur 2025-Folgerechnung; nicht pauschal abziehen.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1" t="str">
        <x:v>DATEV-OPOS 31.12.24, gesamter Mandant</x:v>
      </x:c>
      <x:c r="B13" s="22" t="n">
        <x:f>SUM('DATEV 31.12.24'!$I$5:$I$793)</x:f>
        <x:v>249441.36999999997</x:v>
      </x:c>
      <x:c r="C13" s="21" t="str">
        <x:v>Alle 789 offenen DATEV-Buchungszeilen, auch außerhalb der Jamso-Liste.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DATEV-Konto 10069, netto</x:v>
      </x:c>
      <x:c r="B14" s="5" t="n">
        <x:f>SUMIFS('DATEV 31.12.24'!$I$5:$I$793,'DATEV 31.12.24'!$B$5:$B$793,10069)</x:f>
        <x:v>-1357</x:v>
      </x:c>
      <x:c r="C14" s="2" t="str">
        <x:v>Abweichung zum Excel-Sammelposten zeigt fehlende Einzelzuordnung.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 t="str">
        <x:v>DATEV-Debitoren nicht in Excel-Hauptliste</x:v>
      </x:c>
      <x:c r="B15" s="14" t="n">
        <x:f>COUNTIFS('Kontenabgleich'!$H$5:$H$125,"Nur in DATEV-OPOS")</x:f>
        <x:v>69</x:v>
      </x:c>
      <x:c r="C15" s="2" t="str">
        <x:v>Für diese Konten lässt die Hauptliste den Zahlungsstatus nach 2024 offen.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0" customHeight="1">
      <x:c r="A16" s="4" t="str">
        <x:v>Konto</x:v>
      </x:c>
      <x:c r="B16" s="4" t="str">
        <x:v>Rechnung / Sachverhalt</x:v>
      </x:c>
      <x:c r="C16" s="4" t="str">
        <x:v>EUR</x:v>
      </x:c>
      <x:c r="D16" s="4" t="str">
        <x:v>Entscheidung</x:v>
      </x:c>
      <x:c r="E16" s="4" t="str">
        <x:v>Beleglage</x:v>
      </x:c>
      <x:c r="F16" s="4" t="str">
        <x:v>Konkreter Arbeitsschritt</x:v>
      </x:c>
      <x:c r="G16" s="2"/>
      <x:c r="H16" s="2"/>
      <x:c r="I16" s="2"/>
      <x:c r="J16" s="2"/>
      <x:c r="K16" s="2"/>
      <x:c r="L16" s="2"/>
      <x:c r="M16" s="2"/>
      <x:c r="N16" s="2"/>
    </x:row>
    <x:row r="17" ht="49" customHeight="1">
      <x:c r="A17" s="21" t="n">
        <x:v>10069</x:v>
      </x:c>
      <x:c r="B17" s="21" t="str">
        <x:v>2023-Sammelbetrag</x:v>
      </x:c>
      <x:c r="C17" s="22" t="n">
        <x:v>56387.07</x:v>
      </x:c>
      <x:c r="D17" s="23" t="str">
        <x:v>Nicht ausbuchen</x:v>
      </x:c>
      <x:c r="E17" s="23" t="str">
        <x:v>Excel Zeilen 57–100: kein Einzelrechnungsnachweis; DATEV 10069 netto -1.357,00 €.</x:v>
      </x:c>
      <x:c r="F17" s="23" t="str">
        <x:v>2023er Rechnungen einzeln mit DATEV, Zahlungen und Stornos abstimmen.</x:v>
      </x:c>
      <x:c r="G17" s="2"/>
      <x:c r="H17" s="2"/>
      <x:c r="I17" s="2"/>
      <x:c r="J17" s="2"/>
      <x:c r="K17" s="2"/>
      <x:c r="L17" s="2"/>
      <x:c r="M17" s="2"/>
      <x:c r="N17" s="2"/>
    </x:row>
    <x:row r="18" ht="49" customHeight="1">
      <x:c r="A18" s="2" t="n">
        <x:v>10001</x:v>
      </x:c>
      <x:c r="B18" s="2" t="str">
        <x:v>2024-104 Ortner</x:v>
      </x:c>
      <x:c r="C18" s="5" t="n">
        <x:v>883.5</x:v>
      </x:c>
      <x:c r="D18" s="15" t="str">
        <x:v>Liste bereinigen</x:v>
      </x:c>
      <x:c r="E18" s="15" t="str">
        <x:v>DATEV 10001: Rechnung und Umbuchung 10069 vom 18.01.2024 bereits ausgeglichen.</x:v>
      </x:c>
      <x:c r="F18" s="15" t="str">
        <x:v>Posten in Jamso-Liste als ausgeglichen kennzeichnen; keine neue Forderungsausbuchung.</x:v>
      </x:c>
      <x:c r="G18" s="2"/>
      <x:c r="H18" s="2"/>
      <x:c r="I18" s="2"/>
      <x:c r="J18" s="2"/>
      <x:c r="K18" s="2"/>
      <x:c r="L18" s="2"/>
      <x:c r="M18" s="2"/>
      <x:c r="N18" s="2"/>
    </x:row>
    <x:row r="19" ht="49" customHeight="1">
      <x:c r="A19" s="2" t="n">
        <x:v>10105</x:v>
      </x:c>
      <x:c r="B19" s="2" t="str">
        <x:v>2024-214 Doumbia</x:v>
      </x:c>
      <x:c r="C19" s="5" t="n">
        <x:v>3820</x:v>
      </x:c>
      <x:c r="D19" s="15" t="str">
        <x:v>Liste bereinigen</x:v>
      </x:c>
      <x:c r="E19" s="15" t="str">
        <x:v>DATEV: Storno 2024214ST über 3.820,00 €, Posten bereits ausgeglichen.</x:v>
      </x:c>
      <x:c r="F19" s="15" t="str">
        <x:v>Stornobeleg zuordnen und Mandantenliste korrigieren.</x:v>
      </x:c>
      <x:c r="G19" s="2"/>
      <x:c r="H19" s="2"/>
      <x:c r="I19" s="2"/>
      <x:c r="J19" s="2"/>
      <x:c r="K19" s="2"/>
      <x:c r="L19" s="2"/>
      <x:c r="M19" s="2"/>
      <x:c r="N19" s="2"/>
    </x:row>
    <x:row r="20" ht="49" customHeight="1">
      <x:c r="A20" s="2" t="n">
        <x:v>10046</x:v>
      </x:c>
      <x:c r="B20" s="2" t="str">
        <x:v>2024-150 Garcia Lopez</x:v>
      </x:c>
      <x:c r="C20" s="5" t="n">
        <x:v>944</x:v>
      </x:c>
      <x:c r="D20" s="15" t="str">
        <x:v>Storno prüfen</x:v>
      </x:c>
      <x:c r="E20" s="15" t="str">
        <x:v>Stornoliste: Nr. 18258 zu 2024-150 mit -944,00 €; DATEV und Excel zeigen 944,00 € offen.</x:v>
      </x:c>
      <x:c r="F20" s="15" t="str">
        <x:v>Stornobeleg und DATEV-Erfassung prüfen; danach Gegenbuchung/Auszifferung.</x:v>
      </x:c>
      <x:c r="G20" s="2"/>
      <x:c r="H20" s="2"/>
      <x:c r="I20" s="2"/>
      <x:c r="J20" s="2"/>
      <x:c r="K20" s="2"/>
      <x:c r="L20" s="2"/>
      <x:c r="M20" s="2"/>
      <x:c r="N20" s="2"/>
    </x:row>
    <x:row r="21" ht="49" customHeight="1">
      <x:c r="A21" s="17" t="n">
        <x:v>10049</x:v>
      </x:c>
      <x:c r="B21" s="17" t="str">
        <x:v>2024-185 Annina Benz</x:v>
      </x:c>
      <x:c r="C21" s="20" t="n">
        <x:v>70</x:v>
      </x:c>
      <x:c r="D21" s="18" t="str">
        <x:v>Storno prüfen</x:v>
      </x:c>
      <x:c r="E21" s="18" t="str">
        <x:v>Stornoliste: Nr. 18252 zu 2024-185 über 70,00 €; DATEV und Excel zeigen 70,00 € offen.</x:v>
      </x:c>
      <x:c r="F21" s="18" t="str">
        <x:v>Stornobeleg und DATEV-Erfassung prüfen; Quell-Datum 2004 auffällig.</x:v>
      </x:c>
    </x:row>
    <x:row r="22" ht="49" customHeight="1">
      <x:c r="A22" s="17" t="n">
        <x:v>10059</x:v>
      </x:c>
      <x:c r="B22" s="17" t="str">
        <x:v>2024-165 Devin Searcy</x:v>
      </x:c>
      <x:c r="C22" s="20" t="n">
        <x:v>472.5</x:v>
      </x:c>
      <x:c r="D22" s="18" t="str">
        <x:v>Storno prüfen</x:v>
      </x:c>
      <x:c r="E22" s="18" t="str">
        <x:v>Stornoliste nennt Nr. 18253 ohne Betrag; DATEV und Excel zeigen 472,50 € offen.</x:v>
      </x:c>
      <x:c r="F22" s="18" t="str">
        <x:v>Stornobeleg und tatsächlich wirksamen Betrag klären.</x:v>
      </x:c>
    </x:row>
    <x:row r="23" ht="49" customHeight="1">
      <x:c r="A23" s="17"/>
      <x:c r="B23" s="17" t="str">
        <x:v>2024-357/-360/-361</x:v>
      </x:c>
      <x:c r="C23" s="20" t="n">
        <x:v>4370</x:v>
      </x:c>
      <x:c r="D23" s="18" t="str">
        <x:v>2025-Stornos prüfen</x:v>
      </x:c>
      <x:c r="E23" s="18" t="str">
        <x:v>Aufteilungsliste nennt Storno der 2024-Anteile 1.980 € / 1.620 € / 770 € und neue 2025-Rechnungen.</x:v>
      </x:c>
      <x:c r="F23" s="18" t="str">
        <x:v>Stornobelege und DATEV-Folgebuchungen den drei Rechnungen zuordnen.</x:v>
      </x:c>
    </x:row>
    <x:row r="24" ht="49" customHeight="1">
      <x:c r="A24" s="17"/>
      <x:c r="B24" s="17" t="str">
        <x:v>2024-356 Erik Bauer</x:v>
      </x:c>
      <x:c r="C24" s="20" t="n">
        <x:v>2592</x:v>
      </x:c>
      <x:c r="D24" s="18" t="str">
        <x:v>Kontokonflikt prüfen</x:v>
      </x:c>
      <x:c r="E24" s="18" t="str">
        <x:v>Aufteilung nennt Debitor 10125, DATEV zur Rechnung 2024-356 Debitor 10215; Zahlung entspricht 2025-Rechnung 2.592 €.</x:v>
      </x:c>
      <x:c r="F24" s="18" t="str">
        <x:v>Debitorennummer und Zahlungszweck 2025 prüfen; nicht auf 2024 offen verrechnen.</x:v>
      </x:c>
    </x:row>
    <x:row r="25" ht="49" customHeight="1">
      <x:c r="A25" s="17"/>
      <x:c r="B25" s="17" t="str">
        <x:v>2024-213/-264</x:v>
      </x:c>
      <x:c r="C25" s="20" t="n">
        <x:v>1045.2</x:v>
      </x:c>
      <x:c r="D25" s="18" t="str">
        <x:v>Rechnungs-Split prüfen</x:v>
      </x:c>
      <x:c r="E25" s="18" t="str">
        <x:v>Aufteilung E+G liegt um 726,40 € (Lumley) und 318,80 € (Tokarzk) über dem 2024er Tracker-Rechnungsbetrag.</x:v>
      </x:c>
      <x:c r="F25" s="18" t="str">
        <x:v>Originale 2024- und 2025-Rechnungen samt Storno/Gutschrift abgleichen.</x:v>
      </x:c>
    </x:row>
    <x:row r="26" ht="49" customHeight="1">
      <x:c r="A26" s="17"/>
      <x:c r="B26" s="17" t="str">
        <x:v>2024-344/-348</x:v>
      </x:c>
      <x:c r="C26" s="20" t="n">
        <x:v>10.8</x:v>
      </x:c>
      <x:c r="D26" s="18" t="str">
        <x:v>Betragsabweichung</x:v>
      </x:c>
      <x:c r="E26" s="18" t="str">
        <x:v>Aufteilung E+G liegt 0,80 € (Jung) und 10,00 € (Schupp) unter dem Tracker-Rechnungsbetrag.</x:v>
      </x:c>
      <x:c r="F26" s="18" t="str">
        <x:v>Beträge mit Rechnungsoriginalen berichtigen.</x:v>
      </x:c>
    </x:row>
    <x:row r="27" ht="49" customHeight="1">
      <x:c r="A27" s="17" t="n">
        <x:v>10136</x:v>
      </x:c>
      <x:c r="B27" s="17" t="str">
        <x:v>2024-252 Andrea Friedrich</x:v>
      </x:c>
      <x:c r="C27" s="20" t="n">
        <x:v>720</x:v>
      </x:c>
      <x:c r="D27" s="18" t="str">
        <x:v>Zuordnung prüfen</x:v>
      </x:c>
      <x:c r="E27" s="18" t="str">
        <x:v>DATEV Andrea +720,00 € offen; Eva Friedrich -720,00 € offen; Excel Zahlung bei Eva.</x:v>
      </x:c>
      <x:c r="F27" s="18" t="str">
        <x:v>Zahlungsbeleg prüfen, dann debitorisch umbuchen und ausziffern.</x:v>
      </x:c>
    </x:row>
    <x:row r="28" ht="49" customHeight="1">
      <x:c r="A28" s="17" t="n">
        <x:v>10072</x:v>
      </x:c>
      <x:c r="B28" s="17" t="str">
        <x:v>2024-276 Carla Frey</x:v>
      </x:c>
      <x:c r="C28" s="20" t="n">
        <x:v>1140</x:v>
      </x:c>
      <x:c r="D28" s="18" t="str">
        <x:v>Doppelbuchung prüfen</x:v>
      </x:c>
      <x:c r="E28" s="18" t="str">
        <x:v>DATEV: ein 1.140-€-Paar ausgeglichen und ein weiterer 1.140-€-Sollposten offen.</x:v>
      </x:c>
      <x:c r="F28" s="18" t="str">
        <x:v>Rechnung und Buchungssätze prüfen; ggf. Doppelbuchung korrigieren.</x:v>
      </x:c>
    </x:row>
    <x:row r="29" ht="49" customHeight="1">
      <x:c r="A29" s="17" t="n">
        <x:v>10213</x:v>
      </x:c>
      <x:c r="B29" s="17" t="str">
        <x:v>2024-354 Luis Schley</x:v>
      </x:c>
      <x:c r="C29" s="20" t="n">
        <x:v>1291</x:v>
      </x:c>
      <x:c r="D29" s="18" t="str">
        <x:v>Doppelbuchung prüfen</x:v>
      </x:c>
      <x:c r="E29" s="18" t="str">
        <x:v>DATEV zwei offene Sollposten zu 1.291,00 €; Excel eine Rechnung und Zahlung 2025.</x:v>
      </x:c>
      <x:c r="F29" s="18" t="str">
        <x:v>Rechnungsoriginal und 2025-Bankbeleg prüfen; doppelten Satz ggf. stornieren.</x:v>
      </x:c>
    </x:row>
    <x:row r="30" ht="49" customHeight="1">
      <x:c r="A30" s="17" t="n">
        <x:v>10096</x:v>
      </x:c>
      <x:c r="B30" s="17" t="str">
        <x:v>2024-203 / -223 Lea Wette</x:v>
      </x:c>
      <x:c r="C30" s="20" t="n">
        <x:v>2379</x:v>
      </x:c>
      <x:c r="D30" s="18" t="str">
        <x:v>Differenz klären</x:v>
      </x:c>
      <x:c r="E30" s="18" t="str">
        <x:v>Excel-Saldo 81,00 €, DATEV-Saldo 2.460,00 €; Zahlung 465 € vs. DATEV 456 €.</x:v>
      </x:c>
      <x:c r="F30" s="18" t="str">
        <x:v>Rechnungsduplikat, Zusatzrechnung und Zahlungssplit abstimmen.</x:v>
      </x:c>
    </x:row>
    <x:row r="31" ht="49" customHeight="1">
      <x:c r="A31" s="17" t="n">
        <x:v>10143</x:v>
      </x:c>
      <x:c r="B31" s="17" t="str">
        <x:v>2024-261 Nicole Farrier</x:v>
      </x:c>
      <x:c r="C31" s="20" t="n">
        <x:v>477</x:v>
      </x:c>
      <x:c r="D31" s="18" t="str">
        <x:v>Rückbuchung klären</x:v>
      </x:c>
      <x:c r="E31" s="18" t="str">
        <x:v>Excel führt zwei Zahlungen zu je 477 €; DATEV zeigt Zahlung und Rückbuchung, netto +477 €.</x:v>
      </x:c>
      <x:c r="F31" s="18" t="str">
        <x:v>Bankkonto und Rückbuchungsgrund prüfen; Zahlungsstatus korrigieren.</x:v>
      </x:c>
    </x:row>
    <x:row r="32" ht="49" customHeight="1">
      <x:c r="A32" s="17" t="n">
        <x:v>10161</x:v>
      </x:c>
      <x:c r="B32" s="17" t="str">
        <x:v>2024-282 Brittanne Macey</x:v>
      </x:c>
      <x:c r="C32" s="20" t="n">
        <x:v>345.6</x:v>
      </x:c>
      <x:c r="D32" s="18" t="str">
        <x:v>Liste ergänzen</x:v>
      </x:c>
      <x:c r="E32" s="18" t="str">
        <x:v>DATEV: Zahlung 345,60 €; Excel führt nur Rechnung 432,00 €.</x:v>
      </x:c>
      <x:c r="F32" s="18" t="str">
        <x:v>Zahlung in Mandantenliste ergänzen; Rest 86,40 € bewerten.</x:v>
      </x:c>
    </x:row>
    <x:row r="33" ht="49" customHeight="1">
      <x:c r="A33" s="17" t="n">
        <x:v>10154</x:v>
      </x:c>
      <x:c r="B33" s="17" t="str">
        <x:v>2024-347 Tkachenko</x:v>
      </x:c>
      <x:c r="C33" s="20" t="n">
        <x:v>680</x:v>
      </x:c>
      <x:c r="D33" s="18" t="str">
        <x:v>Rechnung fehlt</x:v>
      </x:c>
      <x:c r="E33" s="18" t="str">
        <x:v>DATEV: offene Rechnung 680,00 €; Excel nur Zahlung 544,00 € im Jahr 2025.</x:v>
      </x:c>
      <x:c r="F33" s="18" t="str">
        <x:v>Rechnung und Zahlung zuordnen, verbleibenden Betrag abstimmen.</x:v>
      </x:c>
    </x:row>
    <x:row r="34" ht="49" customHeight="1">
      <x:c r="A34" s="17" t="n">
        <x:v>10173</x:v>
      </x:c>
      <x:c r="B34" s="17" t="str">
        <x:v>Chiara Klein</x:v>
      </x:c>
      <x:c r="C34" s="20" t="n">
        <x:v>1647</x:v>
      </x:c>
      <x:c r="D34" s="18" t="str">
        <x:v>Buchungen abgleichen</x:v>
      </x:c>
      <x:c r="E34" s="18" t="str">
        <x:v>DATEV zum 31.12.2024 netto 1.647,00 €; Excel enthält Zahlung ohne Rechnungsbetrag 2024-296.</x:v>
      </x:c>
      <x:c r="F34" s="18" t="str">
        <x:v>Rechnungen 296, 332, 343 und Zahlungen 2025 einzeln zuordnen.</x:v>
      </x:c>
    </x:row>
    <x:row r="35" ht="49" customHeight="1">
      <x:c r="A35" s="17" t="n">
        <x:v>10177</x:v>
      </x:c>
      <x:c r="B35" s="17" t="str">
        <x:v>2024-300 Ela Centimese</x:v>
      </x:c>
      <x:c r="C35" s="20" t="n">
        <x:v>513.8</x:v>
      </x:c>
      <x:c r="D35" s="18" t="str">
        <x:v>Rechnung fehlt</x:v>
      </x:c>
      <x:c r="E35" s="18" t="str">
        <x:v>DATEV 2.569,00 € Rechnung minus 2.055,20 € Zahlung; Excel zeigt nur Zahlung.</x:v>
      </x:c>
      <x:c r="F35" s="18" t="str">
        <x:v>Rechnung in Liste ergänzen und Rest 513,80 € klären.</x:v>
      </x:c>
    </x:row>
    <x:row r="36" ht="49" customHeight="1">
      <x:c r="A36" s="17" t="n">
        <x:v>10174</x:v>
      </x:c>
      <x:c r="B36" s="17" t="str">
        <x:v>2024-297 Estelle Gilleron</x:v>
      </x:c>
      <x:c r="C36" s="20" t="n">
        <x:v>764</x:v>
      </x:c>
      <x:c r="D36" s="18" t="str">
        <x:v>Doppelbetrag prüfen</x:v>
      </x:c>
      <x:c r="E36" s="18" t="str">
        <x:v>DATEV zwei offene Sollbeträge 764,00 € und 550,00 € zur gleichen Rechnungsnr.; Excel 550 €.</x:v>
      </x:c>
      <x:c r="F36" s="18" t="str">
        <x:v>Rechnungsoriginal und Buchungen prüfen.</x:v>
      </x:c>
    </x:row>
    <x:row r="37" ht="49" customHeight="1">
      <x:c r="A37" s="17" t="n">
        <x:v>10068</x:v>
      </x:c>
      <x:c r="B37" s="17" t="str">
        <x:v>2024-209 Anna Herzog</x:v>
      </x:c>
      <x:c r="C37" s="20" t="n">
        <x:v>1120</x:v>
      </x:c>
      <x:c r="D37" s="18" t="str">
        <x:v>2025-Zahlung ausziffern</x:v>
      </x:c>
      <x:c r="E37" s="18" t="str">
        <x:v>DATEV 31.12.2024 +1.120,00 €; Excel Zahlung 24.02.2025.</x:v>
      </x:c>
      <x:c r="F37" s="18" t="str">
        <x:v>Bankbeleg 2025 prüfen und offenen DATEV-Posten ausgleichen.</x:v>
      </x:c>
    </x:row>
    <x:row r="38" ht="49" customHeight="1">
      <x:c r="A38" s="17" t="n">
        <x:v>10031</x:v>
      </x:c>
      <x:c r="B38" s="17" t="str">
        <x:v>2024-134 Bielefeld</x:v>
      </x:c>
      <x:c r="C38" s="20" t="n">
        <x:v>1360</x:v>
      </x:c>
      <x:c r="D38" s="18" t="str">
        <x:v>2025-Zahlung ausziffern</x:v>
      </x:c>
      <x:c r="E38" s="18" t="str">
        <x:v>DATEV 31.12.2024 +1.360,00 €; Excel Zahlung 02.01.2025.</x:v>
      </x:c>
      <x:c r="F38" s="18" t="str">
        <x:v>Bankbeleg prüfen und DATEV-Folgejahr ausziffern.</x:v>
      </x:c>
    </x:row>
    <x:row r="39" ht="49" customHeight="1">
      <x:c r="A39" s="17" t="n">
        <x:v>10166</x:v>
      </x:c>
      <x:c r="B39" s="17" t="str">
        <x:v>2024-288 Korczak</x:v>
      </x:c>
      <x:c r="C39" s="20" t="n">
        <x:v>1726</x:v>
      </x:c>
      <x:c r="D39" s="18" t="str">
        <x:v>2025-Zahlung ausziffern</x:v>
      </x:c>
      <x:c r="E39" s="18" t="str">
        <x:v>DATEV 31.12.2024 +1.726,00 €; Excel Zahlung 03.01.2025.</x:v>
      </x:c>
      <x:c r="F39" s="18" t="str">
        <x:v>Bankbeleg prüfen und DATEV-Folgejahr ausziffern.</x:v>
      </x:c>
    </x:row>
    <x:row r="40" ht="49" customHeight="1">
      <x:c r="A40" s="17" t="n">
        <x:v>10178</x:v>
      </x:c>
      <x:c r="B40" s="17" t="str">
        <x:v>2024-301 Botschafter</x:v>
      </x:c>
      <x:c r="C40" s="20" t="n">
        <x:v>1480</x:v>
      </x:c>
      <x:c r="D40" s="18" t="str">
        <x:v>2025-Zahlung ausziffern</x:v>
      </x:c>
      <x:c r="E40" s="18" t="str">
        <x:v>DATEV 31.12.2024 +1.480,00 €; Excel Zahlung 20.01.2025.</x:v>
      </x:c>
      <x:c r="F40" s="18" t="str">
        <x:v>Bankbeleg prüfen und DATEV-Folgejahr ausziffern.</x:v>
      </x:c>
    </x:row>
    <x:row r="41" ht="49" customHeight="1">
      <x:c r="A41" s="17" t="n">
        <x:v>10071</x:v>
      </x:c>
      <x:c r="B41" s="17" t="str">
        <x:v>2024-175 / -259 Jara Maier</x:v>
      </x:c>
      <x:c r="C41" s="20" t="n">
        <x:v>6885</x:v>
      </x:c>
      <x:c r="D41" s="18" t="str">
        <x:v>Forderung/Storno prüfen</x:v>
      </x:c>
      <x:c r="E41" s="18" t="str">
        <x:v>Excel und DATEV je 6.885,00 € netto offen; Stornoliste nennt Nr. 18247 zu 2024-259 ohne Betrag.</x:v>
      </x:c>
      <x:c r="F41" s="18" t="str">
        <x:v>Storno 259 und Restforderung 175 getrennt belegen; Mahnstand und Werthaltigkeit prüfen.</x:v>
      </x:c>
    </x:row>
    <x:row r="42" ht="49" customHeight="1">
      <x:c r="A42" s="17" t="n">
        <x:v>10016</x:v>
      </x:c>
      <x:c r="B42" s="17" t="str">
        <x:v>2024-119 Sophie Kegel</x:v>
      </x:c>
      <x:c r="C42" s="20" t="n">
        <x:v>3295.2</x:v>
      </x:c>
      <x:c r="D42" s="18" t="str">
        <x:v>Forderung prüfen</x:v>
      </x:c>
      <x:c r="E42" s="18" t="str">
        <x:v>Excel und DATEV je 3.295,20 € netto offen; kein Folgeeingang in Excel.</x:v>
      </x:c>
      <x:c r="F42" s="18" t="str">
        <x:v>Mahn- und Einziehungsstand belegen; ggf. Wertberichtigung entscheiden.</x:v>
      </x:c>
    </x:row>
    <x:row r="43" ht="49" customHeight="1">
      <x:c r="A43" s="17"/>
      <x:c r="B43" s="17" t="str">
        <x:v>Nachtragszahlungen</x:v>
      </x:c>
      <x:c r="C43" s="20" t="n">
        <x:v>67466.2</x:v>
      </x:c>
      <x:c r="D43" s="18" t="str">
        <x:v>Einzeln zuordnen</x:v>
      </x:c>
      <x:c r="E43" s="18" t="str">
        <x:v>Excel Zeilen 201–224 nach Summenzeile; viele Beträge decken 2025-Folgerechnungen aus der Aufteilungsliste.</x:v>
      </x:c>
      <x:c r="F43" s="18" t="str">
        <x:v>2024/25-Rechnung, Debitor und Bankbeleg je Zahlung verbinden; nichts pauschal abziehen.</x:v>
      </x:c>
    </x:row>
    <x:row r="45">
      <x:c r="A45" s="24" t="str">
        <x:v>Bearbeitungsregel</x:v>
      </x:c>
      <x:c r="B45" s="24"/>
      <x:c r="C45" s="24"/>
      <x:c r="D45" s="24"/>
      <x:c r="E45" s="24"/>
      <x:c r="F45" s="24"/>
    </x:row>
    <x:row r="46">
      <x:c r="A46" s="25" t="str">
        <x:v>Zahlung → Auszifferung; Storno → Gegenbuchung; Fehlzuordnung → Umbuchung. Forderungsausfall/Wertberichtigung nur mit belegter Einzelprüfung.</x:v>
      </x:c>
    </x:row>
    <x:row r="47">
      <x:c r="A47" s="25" t="str">
        <x:v>Der DATEV-Auszug endet 31.12.2024. Mandantenlisten und Zahlungstracker ersetzen keine DATEV-Jahre 2025/26 oder Bankbelege.</x:v>
      </x:c>
    </x:row>
    <x:row r="48">
      <x:c r="A48" s="25" t="str">
        <x:v>Datumsfehler: Zeile 50 „11.04.024“ mit DATEV auf 11.04.2024 normalisiert; Zeilen 77/82 im Original belassen und markiert.</x:v>
      </x:c>
    </x:row>
    <x:row r="49">
      <x:c r="A49" s="25" t="str">
        <x:v>Rechtsgrundlagen: HGB § 253 Abs. 4 (Bewertung); UStG § 17 Abs. 2 Nr. 1 (Uneinbringlichkeit).</x:v>
      </x:c>
    </x:row>
    <x:row r="50">
      <x:c r="A50" s="25" t="str">
        <x:v>https://www.gesetze-im-internet.de/hgb/__253.html  |  https://www.gesetze-im-internet.de/ustg_1980/__17.html</x:v>
      </x:c>
    </x:row>
    <x:row r="51">
      <x:c r="A51" s="25" t="str">
        <x:v>BFH V R 49/10: Uneinbringlichkeit verlangt eine objektiv auf absehbare Zeit nicht durchsetzbare Forderung.</x:v>
      </x:c>
    </x:row>
    <x:row r="52">
      <x:c r="A52" s="25" t="str">
        <x:v>https://www.bundesfinanzhof.de/de/entscheidung/entscheidungen-online/detail/STRE201250444/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7" hidden="0" customWidth="1"/>
  </x:cols>
  <x:sheetData>
    <x:row r="1">
      <x:c r="A1" s="2" t="str">
        <x:v>Jamso Trainee | Kontenabgleich Excel zu DATEV 31.12.2024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 t="str">
        <x:v>„Excel aktuell“ folgt der Mandantenvorgabe. „Nachtrag“ ist getrennt; keine doppelte Verrechnung.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0" customHeight="1">
      <x:c r="A4" s="4" t="str">
        <x:v>Debitor</x:v>
      </x:c>
      <x:c r="B4" s="4" t="str">
        <x:v>Name / Buchungstext</x:v>
      </x:c>
      <x:c r="C4" s="4" t="str">
        <x:v>Excel aktuell</x:v>
      </x:c>
      <x:c r="D4" s="4" t="str">
        <x:v>Excel 31.12.24</x:v>
      </x:c>
      <x:c r="E4" s="4" t="str">
        <x:v>DATEV 31.12.24</x:v>
      </x:c>
      <x:c r="F4" s="4" t="str">
        <x:v>Differenz 31.12</x:v>
      </x:c>
      <x:c r="G4" s="4" t="str">
        <x:v>Nachtrag Hinweis</x:v>
      </x:c>
      <x:c r="H4" s="4" t="str">
        <x:v>Befund</x:v>
      </x:c>
      <x:c r="I4" s="2"/>
      <x:c r="J4" s="2"/>
      <x:c r="K4" s="2"/>
      <x:c r="L4" s="2"/>
      <x:c r="M4" s="2"/>
      <x:c r="N4" s="2"/>
    </x:row>
    <x:row r="5">
      <x:c r="A5" s="2" t="n">
        <x:v>10000</x:v>
      </x:c>
      <x:c r="B5" s="2" t="str">
        <x:v>Ahlemeyer, Costa Rica</x:v>
      </x:c>
      <x:c r="C5" s="5" t="n">
        <x:f>SUMIFS('Mandantenzeilen'!$L$5:$L$175,'Mandantenzeilen'!$D$5:$D$175,A5,'Mandantenzeilen'!$B$5:$B$175,"Hauptliste")</x:f>
        <x:v>0</x:v>
      </x:c>
      <x:c r="D5" s="5" t="n">
        <x:f>SUMIFS('Mandantenzeilen'!$M$5:$M$175,'Mandantenzeilen'!$D$5:$D$175,A5,'Mandantenzeilen'!$B$5:$B$175,"Hauptliste")</x:f>
        <x:v>0</x:v>
      </x:c>
      <x:c r="E5" s="5" t="n">
        <x:f>SUMIFS('DATEV 31.12.24'!$I$5:$I$793,'DATEV 31.12.24'!$B$5:$B$793,A5)</x:f>
        <x:v>462</x:v>
      </x:c>
      <x:c r="F5" s="5" t="n">
        <x:f>D5-E5</x:f>
        <x:v>-462</x:v>
      </x:c>
      <x:c r="G5" s="5" t="n">
        <x:f>SUMIFS('Nachtrag'!$D$5:$D$28,'Nachtrag'!$F$5:$F$28,A5)</x:f>
        <x:v>0</x:v>
      </x:c>
      <x:c r="H5" s="2" t="str">
        <x:f>IF(A5=10069,"2023-Sammelbetrag einzeln klären",IF(COUNTIFS('Mandantenzeilen'!$D$5:$D$175,A5,'Mandantenzeilen'!$B$5:$B$175,"Hauptliste")=0,"Nur in DATEV-OPOS",IF(ABS(F5)&gt;0.01,"Abweichung zum 31.12.","Kontensaldo gleich")))</x:f>
        <x:v>Nur in DATEV-OPOS</x:v>
      </x:c>
      <x:c r="I5" s="2"/>
      <x:c r="J5" s="2"/>
      <x:c r="K5" s="2"/>
      <x:c r="L5" s="2"/>
      <x:c r="M5" s="2"/>
      <x:c r="N5" s="2"/>
    </x:row>
    <x:row r="6">
      <x:c r="A6" s="2" t="n">
        <x:v>10001</x:v>
      </x:c>
      <x:c r="B6" s="2" t="str">
        <x:v>Katharina Ortner</x:v>
      </x:c>
      <x:c r="C6" s="5" t="n">
        <x:f>SUMIFS('Mandantenzeilen'!$L$5:$L$175,'Mandantenzeilen'!$D$5:$D$175,A6,'Mandantenzeilen'!$B$5:$B$175,"Hauptliste")</x:f>
        <x:v>883.5</x:v>
      </x:c>
      <x:c r="D6" s="5" t="n">
        <x:f>SUMIFS('Mandantenzeilen'!$M$5:$M$175,'Mandantenzeilen'!$D$5:$D$175,A6,'Mandantenzeilen'!$B$5:$B$175,"Hauptliste")</x:f>
        <x:v>883.5</x:v>
      </x:c>
      <x:c r="E6" s="5" t="n">
        <x:f>SUMIFS('DATEV 31.12.24'!$I$5:$I$793,'DATEV 31.12.24'!$B$5:$B$793,A6)</x:f>
        <x:v>0</x:v>
      </x:c>
      <x:c r="F6" s="5" t="n">
        <x:f>D6-E6</x:f>
        <x:v>883.5</x:v>
      </x:c>
      <x:c r="G6" s="5" t="n">
        <x:f>SUMIFS('Nachtrag'!$D$5:$D$28,'Nachtrag'!$F$5:$F$28,A6)</x:f>
        <x:v>0</x:v>
      </x:c>
      <x:c r="H6" s="2" t="str">
        <x:f>IF(A6=10069,"2023-Sammelbetrag einzeln klären",IF(COUNTIFS('Mandantenzeilen'!$D$5:$D$175,A6,'Mandantenzeilen'!$B$5:$B$175,"Hauptliste")=0,"Nur in DATEV-OPOS",IF(ABS(F6)&gt;0.01,"Abweichung zum 31.12.","Kontensaldo gleich")))</x:f>
        <x:v>Abweichung zum 31.12.</x:v>
      </x:c>
      <x:c r="I6" s="2"/>
      <x:c r="J6" s="2"/>
      <x:c r="K6" s="2"/>
      <x:c r="L6" s="2"/>
      <x:c r="M6" s="2"/>
      <x:c r="N6" s="2"/>
    </x:row>
    <x:row r="7">
      <x:c r="A7" s="2" t="n">
        <x:v>10003</x:v>
      </x:c>
      <x:c r="B7" s="2" t="str">
        <x:v>Lucy Maria Erdmenger</x:v>
      </x:c>
      <x:c r="C7" s="5" t="n">
        <x:f>SUMIFS('Mandantenzeilen'!$L$5:$L$175,'Mandantenzeilen'!$D$5:$D$175,A7,'Mandantenzeilen'!$B$5:$B$175,"Hauptliste")</x:f>
        <x:v>0</x:v>
      </x:c>
      <x:c r="D7" s="5" t="n">
        <x:f>SUMIFS('Mandantenzeilen'!$M$5:$M$175,'Mandantenzeilen'!$D$5:$D$175,A7,'Mandantenzeilen'!$B$5:$B$175,"Hauptliste")</x:f>
        <x:v>0</x:v>
      </x:c>
      <x:c r="E7" s="5" t="n">
        <x:f>SUMIFS('DATEV 31.12.24'!$I$5:$I$793,'DATEV 31.12.24'!$B$5:$B$793,A7)</x:f>
        <x:v>1360.0000000000014</x:v>
      </x:c>
      <x:c r="F7" s="5" t="n">
        <x:f>D7-E7</x:f>
        <x:v>-1360.0000000000014</x:v>
      </x:c>
      <x:c r="G7" s="5" t="n">
        <x:f>SUMIFS('Nachtrag'!$D$5:$D$28,'Nachtrag'!$F$5:$F$28,A7)</x:f>
        <x:v>0</x:v>
      </x:c>
      <x:c r="H7" s="2" t="str">
        <x:f>IF(A7=10069,"2023-Sammelbetrag einzeln klären",IF(COUNTIFS('Mandantenzeilen'!$D$5:$D$175,A7,'Mandantenzeilen'!$B$5:$B$175,"Hauptliste")=0,"Nur in DATEV-OPOS",IF(ABS(F7)&gt;0.01,"Abweichung zum 31.12.","Kontensaldo gleich")))</x:f>
        <x:v>Abweichung zum 31.12.</x:v>
      </x:c>
      <x:c r="I7" s="2"/>
      <x:c r="J7" s="2"/>
      <x:c r="K7" s="2"/>
      <x:c r="L7" s="2"/>
      <x:c r="M7" s="2"/>
      <x:c r="N7" s="2"/>
    </x:row>
    <x:row r="8">
      <x:c r="A8" s="2" t="n">
        <x:v>10004</x:v>
      </x:c>
      <x:c r="B8" s="2" t="str">
        <x:v>Sahra Richter</x:v>
      </x:c>
      <x:c r="C8" s="5" t="n">
        <x:f>SUMIFS('Mandantenzeilen'!$L$5:$L$175,'Mandantenzeilen'!$D$5:$D$175,A8,'Mandantenzeilen'!$B$5:$B$175,"Hauptliste")</x:f>
        <x:v>-190</x:v>
      </x:c>
      <x:c r="D8" s="5" t="n">
        <x:f>SUMIFS('Mandantenzeilen'!$M$5:$M$175,'Mandantenzeilen'!$D$5:$D$175,A8,'Mandantenzeilen'!$B$5:$B$175,"Hauptliste")</x:f>
        <x:v>-190</x:v>
      </x:c>
      <x:c r="E8" s="5" t="n">
        <x:f>SUMIFS('DATEV 31.12.24'!$I$5:$I$793,'DATEV 31.12.24'!$B$5:$B$793,A8)</x:f>
        <x:v>190</x:v>
      </x:c>
      <x:c r="F8" s="5" t="n">
        <x:f>D8-E8</x:f>
        <x:v>-380</x:v>
      </x:c>
      <x:c r="G8" s="5" t="n">
        <x:f>SUMIFS('Nachtrag'!$D$5:$D$28,'Nachtrag'!$F$5:$F$28,A8)</x:f>
        <x:v>0</x:v>
      </x:c>
      <x:c r="H8" s="2" t="str">
        <x:f>IF(A8=10069,"2023-Sammelbetrag einzeln klären",IF(COUNTIFS('Mandantenzeilen'!$D$5:$D$175,A8,'Mandantenzeilen'!$B$5:$B$175,"Hauptliste")=0,"Nur in DATEV-OPOS",IF(ABS(F8)&gt;0.01,"Abweichung zum 31.12.","Kontensaldo gleich")))</x:f>
        <x:v>Abweichung zum 31.12.</x:v>
      </x:c>
      <x:c r="I8" s="2"/>
      <x:c r="J8" s="2"/>
      <x:c r="K8" s="2"/>
      <x:c r="L8" s="2"/>
      <x:c r="M8" s="2"/>
      <x:c r="N8" s="2"/>
    </x:row>
    <x:row r="9">
      <x:c r="A9" s="2" t="n">
        <x:v>10010</x:v>
      </x:c>
      <x:c r="B9" s="2" t="str">
        <x:v>Leoa Sophie Werner</x:v>
      </x:c>
      <x:c r="C9" s="5" t="n">
        <x:f>SUMIFS('Mandantenzeilen'!$L$5:$L$175,'Mandantenzeilen'!$D$5:$D$175,A9,'Mandantenzeilen'!$B$5:$B$175,"Hauptliste")</x:f>
        <x:v>-120</x:v>
      </x:c>
      <x:c r="D9" s="5" t="n">
        <x:f>SUMIFS('Mandantenzeilen'!$M$5:$M$175,'Mandantenzeilen'!$D$5:$D$175,A9,'Mandantenzeilen'!$B$5:$B$175,"Hauptliste")</x:f>
        <x:v>-120</x:v>
      </x:c>
      <x:c r="E9" s="5" t="n">
        <x:f>SUMIFS('DATEV 31.12.24'!$I$5:$I$793,'DATEV 31.12.24'!$B$5:$B$793,A9)</x:f>
        <x:v>-120</x:v>
      </x:c>
      <x:c r="F9" s="5" t="n">
        <x:f>D9-E9</x:f>
        <x:v>0</x:v>
      </x:c>
      <x:c r="G9" s="5" t="n">
        <x:f>SUMIFS('Nachtrag'!$D$5:$D$28,'Nachtrag'!$F$5:$F$28,A9)</x:f>
        <x:v>0</x:v>
      </x:c>
      <x:c r="H9" s="2" t="str">
        <x:f>IF(A9=10069,"2023-Sammelbetrag einzeln klären",IF(COUNTIFS('Mandantenzeilen'!$D$5:$D$175,A9,'Mandantenzeilen'!$B$5:$B$175,"Hauptliste")=0,"Nur in DATEV-OPOS",IF(ABS(F9)&gt;0.01,"Abweichung zum 31.12.","Kontensaldo gleich")))</x:f>
        <x:v>Kontensaldo gleich</x:v>
      </x:c>
      <x:c r="I9" s="2"/>
      <x:c r="J9" s="2"/>
      <x:c r="K9" s="2"/>
      <x:c r="L9" s="2"/>
      <x:c r="M9" s="2"/>
      <x:c r="N9" s="2"/>
    </x:row>
    <x:row r="10">
      <x:c r="A10" s="2" t="n">
        <x:v>10016</x:v>
      </x:c>
      <x:c r="B10" s="2" t="str">
        <x:v>Sophie Kegel</x:v>
      </x:c>
      <x:c r="C10" s="5" t="n">
        <x:f>SUMIFS('Mandantenzeilen'!$L$5:$L$175,'Mandantenzeilen'!$D$5:$D$175,A10,'Mandantenzeilen'!$B$5:$B$175,"Hauptliste")</x:f>
        <x:v>3295.2</x:v>
      </x:c>
      <x:c r="D10" s="5" t="n">
        <x:f>SUMIFS('Mandantenzeilen'!$M$5:$M$175,'Mandantenzeilen'!$D$5:$D$175,A10,'Mandantenzeilen'!$B$5:$B$175,"Hauptliste")</x:f>
        <x:v>3295.2</x:v>
      </x:c>
      <x:c r="E10" s="5" t="n">
        <x:f>SUMIFS('DATEV 31.12.24'!$I$5:$I$793,'DATEV 31.12.24'!$B$5:$B$793,A10)</x:f>
        <x:v>3295.2</x:v>
      </x:c>
      <x:c r="F10" s="5" t="n">
        <x:f>D10-E10</x:f>
        <x:v>0</x:v>
      </x:c>
      <x:c r="G10" s="5" t="n">
        <x:f>SUMIFS('Nachtrag'!$D$5:$D$28,'Nachtrag'!$F$5:$F$28,A10)</x:f>
        <x:v>0</x:v>
      </x:c>
      <x:c r="H10" s="2" t="str">
        <x:f>IF(A10=10069,"2023-Sammelbetrag einzeln klären",IF(COUNTIFS('Mandantenzeilen'!$D$5:$D$175,A10,'Mandantenzeilen'!$B$5:$B$175,"Hauptliste")=0,"Nur in DATEV-OPOS",IF(ABS(F10)&gt;0.01,"Abweichung zum 31.12.","Kontensaldo gleich")))</x:f>
        <x:v>Kontensaldo gleich</x:v>
      </x:c>
      <x:c r="I10" s="2"/>
      <x:c r="J10" s="2"/>
      <x:c r="K10" s="2"/>
      <x:c r="L10" s="2"/>
      <x:c r="M10" s="2"/>
      <x:c r="N10" s="2"/>
    </x:row>
    <x:row r="11">
      <x:c r="A11" s="2" t="n">
        <x:v>10020</x:v>
      </x:c>
      <x:c r="B11" s="2" t="str">
        <x:v>Amaury Baladier</x:v>
      </x:c>
      <x:c r="C11" s="5" t="n">
        <x:f>SUMIFS('Mandantenzeilen'!$L$5:$L$175,'Mandantenzeilen'!$D$5:$D$175,A11,'Mandantenzeilen'!$B$5:$B$175,"Hauptliste")</x:f>
        <x:v>-140.79999999999995</x:v>
      </x:c>
      <x:c r="D11" s="5" t="n">
        <x:f>SUMIFS('Mandantenzeilen'!$M$5:$M$175,'Mandantenzeilen'!$D$5:$D$175,A11,'Mandantenzeilen'!$B$5:$B$175,"Hauptliste")</x:f>
        <x:v>-140.79999999999995</x:v>
      </x:c>
      <x:c r="E11" s="5" t="n">
        <x:f>SUMIFS('DATEV 31.12.24'!$I$5:$I$793,'DATEV 31.12.24'!$B$5:$B$793,A11)</x:f>
        <x:v>0</x:v>
      </x:c>
      <x:c r="F11" s="5" t="n">
        <x:f>D11-E11</x:f>
        <x:v>-140.79999999999995</x:v>
      </x:c>
      <x:c r="G11" s="5" t="n">
        <x:f>SUMIFS('Nachtrag'!$D$5:$D$28,'Nachtrag'!$F$5:$F$28,A11)</x:f>
        <x:v>0</x:v>
      </x:c>
      <x:c r="H11" s="2" t="str">
        <x:f>IF(A11=10069,"2023-Sammelbetrag einzeln klären",IF(COUNTIFS('Mandantenzeilen'!$D$5:$D$175,A11,'Mandantenzeilen'!$B$5:$B$175,"Hauptliste")=0,"Nur in DATEV-OPOS",IF(ABS(F11)&gt;0.01,"Abweichung zum 31.12.","Kontensaldo gleich")))</x:f>
        <x:v>Abweichung zum 31.12.</x:v>
      </x:c>
      <x:c r="I11" s="2"/>
      <x:c r="J11" s="2"/>
      <x:c r="K11" s="2"/>
      <x:c r="L11" s="2"/>
      <x:c r="M11" s="2"/>
      <x:c r="N11" s="2"/>
    </x:row>
    <x:row r="12">
      <x:c r="A12" s="2" t="n">
        <x:v>10021</x:v>
      </x:c>
      <x:c r="B12" s="2" t="str">
        <x:v>Miguel Tjin</x:v>
      </x:c>
      <x:c r="C12" s="5" t="n">
        <x:f>SUMIFS('Mandantenzeilen'!$L$5:$L$175,'Mandantenzeilen'!$D$5:$D$175,A12,'Mandantenzeilen'!$B$5:$B$175,"Hauptliste")</x:f>
        <x:v>1758</x:v>
      </x:c>
      <x:c r="D12" s="5" t="n">
        <x:f>SUMIFS('Mandantenzeilen'!$M$5:$M$175,'Mandantenzeilen'!$D$5:$D$175,A12,'Mandantenzeilen'!$B$5:$B$175,"Hauptliste")</x:f>
        <x:v>1758</x:v>
      </x:c>
      <x:c r="E12" s="5" t="n">
        <x:f>SUMIFS('DATEV 31.12.24'!$I$5:$I$793,'DATEV 31.12.24'!$B$5:$B$793,A12)</x:f>
        <x:v>1758</x:v>
      </x:c>
      <x:c r="F12" s="5" t="n">
        <x:f>D12-E12</x:f>
        <x:v>0</x:v>
      </x:c>
      <x:c r="G12" s="5" t="n">
        <x:f>SUMIFS('Nachtrag'!$D$5:$D$28,'Nachtrag'!$F$5:$F$28,A12)</x:f>
        <x:v>0</x:v>
      </x:c>
      <x:c r="H12" s="2" t="str">
        <x:f>IF(A12=10069,"2023-Sammelbetrag einzeln klären",IF(COUNTIFS('Mandantenzeilen'!$D$5:$D$175,A12,'Mandantenzeilen'!$B$5:$B$175,"Hauptliste")=0,"Nur in DATEV-OPOS",IF(ABS(F12)&gt;0.01,"Abweichung zum 31.12.","Kontensaldo gleich")))</x:f>
        <x:v>Kontensaldo gleich</x:v>
      </x:c>
      <x:c r="I12" s="2"/>
      <x:c r="J12" s="2"/>
      <x:c r="K12" s="2"/>
      <x:c r="L12" s="2"/>
      <x:c r="M12" s="2"/>
      <x:c r="N12" s="2"/>
    </x:row>
    <x:row r="13">
      <x:c r="A13" s="2" t="n">
        <x:v>10024</x:v>
      </x:c>
      <x:c r="B13" s="2" t="str">
        <x:v>Clara Sheridan</x:v>
      </x:c>
      <x:c r="C13" s="5" t="n">
        <x:f>SUMIFS('Mandantenzeilen'!$L$5:$L$175,'Mandantenzeilen'!$D$5:$D$175,A13,'Mandantenzeilen'!$B$5:$B$175,"Hauptliste")</x:f>
        <x:v>332</x:v>
      </x:c>
      <x:c r="D13" s="5" t="n">
        <x:f>SUMIFS('Mandantenzeilen'!$M$5:$M$175,'Mandantenzeilen'!$D$5:$D$175,A13,'Mandantenzeilen'!$B$5:$B$175,"Hauptliste")</x:f>
        <x:v>332</x:v>
      </x:c>
      <x:c r="E13" s="5" t="n">
        <x:f>SUMIFS('DATEV 31.12.24'!$I$5:$I$793,'DATEV 31.12.24'!$B$5:$B$793,A13)</x:f>
        <x:v>332</x:v>
      </x:c>
      <x:c r="F13" s="5" t="n">
        <x:f>D13-E13</x:f>
        <x:v>0</x:v>
      </x:c>
      <x:c r="G13" s="5" t="n">
        <x:f>SUMIFS('Nachtrag'!$D$5:$D$28,'Nachtrag'!$F$5:$F$28,A13)</x:f>
        <x:v>0</x:v>
      </x:c>
      <x:c r="H13" s="2" t="str">
        <x:f>IF(A13=10069,"2023-Sammelbetrag einzeln klären",IF(COUNTIFS('Mandantenzeilen'!$D$5:$D$175,A13,'Mandantenzeilen'!$B$5:$B$175,"Hauptliste")=0,"Nur in DATEV-OPOS",IF(ABS(F13)&gt;0.01,"Abweichung zum 31.12.","Kontensaldo gleich")))</x:f>
        <x:v>Kontensaldo gleich</x:v>
      </x:c>
      <x:c r="I13" s="2"/>
      <x:c r="J13" s="2"/>
      <x:c r="K13" s="2"/>
      <x:c r="L13" s="2"/>
      <x:c r="M13" s="2"/>
      <x:c r="N13" s="2"/>
    </x:row>
    <x:row r="14">
      <x:c r="A14" s="2" t="n">
        <x:v>10031</x:v>
      </x:c>
      <x:c r="B14" s="2" t="str">
        <x:v>Alyssa Elara Bielefeld</x:v>
      </x:c>
      <x:c r="C14" s="5" t="n">
        <x:f>SUMIFS('Mandantenzeilen'!$L$5:$L$175,'Mandantenzeilen'!$D$5:$D$175,A14,'Mandantenzeilen'!$B$5:$B$175,"Hauptliste")</x:f>
        <x:v>0</x:v>
      </x:c>
      <x:c r="D14" s="5" t="n">
        <x:f>SUMIFS('Mandantenzeilen'!$M$5:$M$175,'Mandantenzeilen'!$D$5:$D$175,A14,'Mandantenzeilen'!$B$5:$B$175,"Hauptliste")</x:f>
        <x:v>1360</x:v>
      </x:c>
      <x:c r="E14" s="5" t="n">
        <x:f>SUMIFS('DATEV 31.12.24'!$I$5:$I$793,'DATEV 31.12.24'!$B$5:$B$793,A14)</x:f>
        <x:v>1360</x:v>
      </x:c>
      <x:c r="F14" s="5" t="n">
        <x:f>D14-E14</x:f>
        <x:v>0</x:v>
      </x:c>
      <x:c r="G14" s="5" t="n">
        <x:f>SUMIFS('Nachtrag'!$D$5:$D$28,'Nachtrag'!$F$5:$F$28,A14)</x:f>
        <x:v>0</x:v>
      </x:c>
      <x:c r="H14" s="2" t="str">
        <x:f>IF(A14=10069,"2023-Sammelbetrag einzeln klären",IF(COUNTIFS('Mandantenzeilen'!$D$5:$D$175,A14,'Mandantenzeilen'!$B$5:$B$175,"Hauptliste")=0,"Nur in DATEV-OPOS",IF(ABS(F14)&gt;0.01,"Abweichung zum 31.12.","Kontensaldo gleich")))</x:f>
        <x:v>Kontensaldo gleich</x:v>
      </x:c>
      <x:c r="I14" s="2"/>
      <x:c r="J14" s="2"/>
      <x:c r="K14" s="2"/>
      <x:c r="L14" s="2"/>
      <x:c r="M14" s="2"/>
      <x:c r="N14" s="2"/>
    </x:row>
    <x:row r="15">
      <x:c r="A15" s="2" t="n">
        <x:v>10046</x:v>
      </x:c>
      <x:c r="B15" s="2" t="str">
        <x:v>Mathilde Garcia Lopez</x:v>
      </x:c>
      <x:c r="C15" s="5" t="n">
        <x:f>SUMIFS('Mandantenzeilen'!$L$5:$L$175,'Mandantenzeilen'!$D$5:$D$175,A15,'Mandantenzeilen'!$B$5:$B$175,"Hauptliste")</x:f>
        <x:v>944</x:v>
      </x:c>
      <x:c r="D15" s="5" t="n">
        <x:f>SUMIFS('Mandantenzeilen'!$M$5:$M$175,'Mandantenzeilen'!$D$5:$D$175,A15,'Mandantenzeilen'!$B$5:$B$175,"Hauptliste")</x:f>
        <x:v>944</x:v>
      </x:c>
      <x:c r="E15" s="5" t="n">
        <x:f>SUMIFS('DATEV 31.12.24'!$I$5:$I$793,'DATEV 31.12.24'!$B$5:$B$793,A15)</x:f>
        <x:v>944</x:v>
      </x:c>
      <x:c r="F15" s="5" t="n">
        <x:f>D15-E15</x:f>
        <x:v>0</x:v>
      </x:c>
      <x:c r="G15" s="5" t="n">
        <x:f>SUMIFS('Nachtrag'!$D$5:$D$28,'Nachtrag'!$F$5:$F$28,A15)</x:f>
        <x:v>0</x:v>
      </x:c>
      <x:c r="H15" s="2" t="str">
        <x:f>IF(A15=10069,"2023-Sammelbetrag einzeln klären",IF(COUNTIFS('Mandantenzeilen'!$D$5:$D$175,A15,'Mandantenzeilen'!$B$5:$B$175,"Hauptliste")=0,"Nur in DATEV-OPOS",IF(ABS(F15)&gt;0.01,"Abweichung zum 31.12.","Kontensaldo gleich")))</x:f>
        <x:v>Kontensaldo gleich</x:v>
      </x:c>
      <x:c r="I15" s="2"/>
      <x:c r="J15" s="2"/>
      <x:c r="K15" s="2"/>
      <x:c r="L15" s="2"/>
      <x:c r="M15" s="2"/>
      <x:c r="N15" s="2"/>
    </x:row>
    <x:row r="16">
      <x:c r="A16" s="2" t="n">
        <x:v>10049</x:v>
      </x:c>
      <x:c r="B16" s="2" t="str">
        <x:v>Annina Benz</x:v>
      </x:c>
      <x:c r="C16" s="5" t="n">
        <x:f>SUMIFS('Mandantenzeilen'!$L$5:$L$175,'Mandantenzeilen'!$D$5:$D$175,A16,'Mandantenzeilen'!$B$5:$B$175,"Hauptliste")</x:f>
        <x:v>70</x:v>
      </x:c>
      <x:c r="D16" s="5" t="n">
        <x:f>SUMIFS('Mandantenzeilen'!$M$5:$M$175,'Mandantenzeilen'!$D$5:$D$175,A16,'Mandantenzeilen'!$B$5:$B$175,"Hauptliste")</x:f>
        <x:v>70</x:v>
      </x:c>
      <x:c r="E16" s="5" t="n">
        <x:f>SUMIFS('DATEV 31.12.24'!$I$5:$I$793,'DATEV 31.12.24'!$B$5:$B$793,A16)</x:f>
        <x:v>70</x:v>
      </x:c>
      <x:c r="F16" s="5" t="n">
        <x:f>D16-E16</x:f>
        <x:v>0</x:v>
      </x:c>
      <x:c r="G16" s="5" t="n">
        <x:f>SUMIFS('Nachtrag'!$D$5:$D$28,'Nachtrag'!$F$5:$F$28,A16)</x:f>
        <x:v>0</x:v>
      </x:c>
      <x:c r="H16" s="2" t="str">
        <x:f>IF(A16=10069,"2023-Sammelbetrag einzeln klären",IF(COUNTIFS('Mandantenzeilen'!$D$5:$D$175,A16,'Mandantenzeilen'!$B$5:$B$175,"Hauptliste")=0,"Nur in DATEV-OPOS",IF(ABS(F16)&gt;0.01,"Abweichung zum 31.12.","Kontensaldo gleich")))</x:f>
        <x:v>Kontensaldo gleich</x:v>
      </x:c>
      <x:c r="I16" s="2"/>
      <x:c r="J16" s="2"/>
      <x:c r="K16" s="2"/>
      <x:c r="L16" s="2"/>
      <x:c r="M16" s="2"/>
      <x:c r="N16" s="2"/>
    </x:row>
    <x:row r="17">
      <x:c r="A17" s="2" t="n">
        <x:v>10050</x:v>
      </x:c>
      <x:c r="B17" s="2" t="str">
        <x:v>Dean Krause</x:v>
      </x:c>
      <x:c r="C17" s="5" t="n">
        <x:f>SUMIFS('Mandantenzeilen'!$L$5:$L$175,'Mandantenzeilen'!$D$5:$D$175,A17,'Mandantenzeilen'!$B$5:$B$175,"Hauptliste")</x:f>
        <x:v>138</x:v>
      </x:c>
      <x:c r="D17" s="5" t="n">
        <x:f>SUMIFS('Mandantenzeilen'!$M$5:$M$175,'Mandantenzeilen'!$D$5:$D$175,A17,'Mandantenzeilen'!$B$5:$B$175,"Hauptliste")</x:f>
        <x:v>138</x:v>
      </x:c>
      <x:c r="E17" s="5" t="n">
        <x:f>SUMIFS('DATEV 31.12.24'!$I$5:$I$793,'DATEV 31.12.24'!$B$5:$B$793,A17)</x:f>
        <x:v>138</x:v>
      </x:c>
      <x:c r="F17" s="5" t="n">
        <x:f>D17-E17</x:f>
        <x:v>0</x:v>
      </x:c>
      <x:c r="G17" s="5" t="n">
        <x:f>SUMIFS('Nachtrag'!$D$5:$D$28,'Nachtrag'!$F$5:$F$28,A17)</x:f>
        <x:v>0</x:v>
      </x:c>
      <x:c r="H17" s="2" t="str">
        <x:f>IF(A17=10069,"2023-Sammelbetrag einzeln klären",IF(COUNTIFS('Mandantenzeilen'!$D$5:$D$175,A17,'Mandantenzeilen'!$B$5:$B$175,"Hauptliste")=0,"Nur in DATEV-OPOS",IF(ABS(F17)&gt;0.01,"Abweichung zum 31.12.","Kontensaldo gleich")))</x:f>
        <x:v>Kontensaldo gleich</x:v>
      </x:c>
      <x:c r="I17" s="2"/>
      <x:c r="J17" s="2"/>
      <x:c r="K17" s="2"/>
      <x:c r="L17" s="2"/>
      <x:c r="M17" s="2"/>
      <x:c r="N17" s="2"/>
    </x:row>
    <x:row r="18">
      <x:c r="A18" s="2" t="n">
        <x:v>10052</x:v>
      </x:c>
      <x:c r="B18" s="2" t="str">
        <x:v>Hannah McCulloch</x:v>
      </x:c>
      <x:c r="C18" s="5" t="n">
        <x:f>SUMIFS('Mandantenzeilen'!$L$5:$L$175,'Mandantenzeilen'!$D$5:$D$175,A18,'Mandantenzeilen'!$B$5:$B$175,"Hauptliste")</x:f>
        <x:v>0</x:v>
      </x:c>
      <x:c r="D18" s="5" t="n">
        <x:f>SUMIFS('Mandantenzeilen'!$M$5:$M$175,'Mandantenzeilen'!$D$5:$D$175,A18,'Mandantenzeilen'!$B$5:$B$175,"Hauptliste")</x:f>
        <x:v>0</x:v>
      </x:c>
      <x:c r="E18" s="5" t="n">
        <x:f>SUMIFS('DATEV 31.12.24'!$I$5:$I$793,'DATEV 31.12.24'!$B$5:$B$793,A18)</x:f>
        <x:v>-0.39999999999997726</x:v>
      </x:c>
      <x:c r="F18" s="5" t="n">
        <x:f>D18-E18</x:f>
        <x:v>0.39999999999997726</x:v>
      </x:c>
      <x:c r="G18" s="5" t="n">
        <x:f>SUMIFS('Nachtrag'!$D$5:$D$28,'Nachtrag'!$F$5:$F$28,A18)</x:f>
        <x:v>0</x:v>
      </x:c>
      <x:c r="H18" s="2" t="str">
        <x:f>IF(A18=10069,"2023-Sammelbetrag einzeln klären",IF(COUNTIFS('Mandantenzeilen'!$D$5:$D$175,A18,'Mandantenzeilen'!$B$5:$B$175,"Hauptliste")=0,"Nur in DATEV-OPOS",IF(ABS(F18)&gt;0.01,"Abweichung zum 31.12.","Kontensaldo gleich")))</x:f>
        <x:v>Nur in DATEV-OPOS</x:v>
      </x:c>
      <x:c r="I18" s="2"/>
      <x:c r="J18" s="2"/>
      <x:c r="K18" s="2"/>
      <x:c r="L18" s="2"/>
      <x:c r="M18" s="2"/>
      <x:c r="N18" s="2"/>
    </x:row>
    <x:row r="19">
      <x:c r="A19" s="2" t="n">
        <x:v>10056</x:v>
      </x:c>
      <x:c r="B19" s="2" t="str">
        <x:v>Leon Schyma-Hassis</x:v>
      </x:c>
      <x:c r="C19" s="5" t="n">
        <x:f>SUMIFS('Mandantenzeilen'!$L$5:$L$175,'Mandantenzeilen'!$D$5:$D$175,A19,'Mandantenzeilen'!$B$5:$B$175,"Hauptliste")</x:f>
        <x:v>-362.7</x:v>
      </x:c>
      <x:c r="D19" s="5" t="n">
        <x:f>SUMIFS('Mandantenzeilen'!$M$5:$M$175,'Mandantenzeilen'!$D$5:$D$175,A19,'Mandantenzeilen'!$B$5:$B$175,"Hauptliste")</x:f>
        <x:v>-362.7</x:v>
      </x:c>
      <x:c r="E19" s="5" t="n">
        <x:f>SUMIFS('DATEV 31.12.24'!$I$5:$I$793,'DATEV 31.12.24'!$B$5:$B$793,A19)</x:f>
        <x:v>-362.7</x:v>
      </x:c>
      <x:c r="F19" s="5" t="n">
        <x:f>D19-E19</x:f>
        <x:v>0</x:v>
      </x:c>
      <x:c r="G19" s="5" t="n">
        <x:f>SUMIFS('Nachtrag'!$D$5:$D$28,'Nachtrag'!$F$5:$F$28,A19)</x:f>
        <x:v>0</x:v>
      </x:c>
      <x:c r="H19" s="2" t="str">
        <x:f>IF(A19=10069,"2023-Sammelbetrag einzeln klären",IF(COUNTIFS('Mandantenzeilen'!$D$5:$D$175,A19,'Mandantenzeilen'!$B$5:$B$175,"Hauptliste")=0,"Nur in DATEV-OPOS",IF(ABS(F19)&gt;0.01,"Abweichung zum 31.12.","Kontensaldo gleich")))</x:f>
        <x:v>Kontensaldo gleich</x:v>
      </x:c>
      <x:c r="I19" s="2"/>
      <x:c r="J19" s="2"/>
      <x:c r="K19" s="2"/>
      <x:c r="L19" s="2"/>
      <x:c r="M19" s="2"/>
      <x:c r="N19" s="2"/>
    </x:row>
    <x:row r="20">
      <x:c r="A20" s="2" t="n">
        <x:v>10059</x:v>
      </x:c>
      <x:c r="B20" s="2" t="str">
        <x:v>Devin Searcy</x:v>
      </x:c>
      <x:c r="C20" s="5" t="n">
        <x:f>SUMIFS('Mandantenzeilen'!$L$5:$L$175,'Mandantenzeilen'!$D$5:$D$175,A20,'Mandantenzeilen'!$B$5:$B$175,"Hauptliste")</x:f>
        <x:v>472.5</x:v>
      </x:c>
      <x:c r="D20" s="5" t="n">
        <x:f>SUMIFS('Mandantenzeilen'!$M$5:$M$175,'Mandantenzeilen'!$D$5:$D$175,A20,'Mandantenzeilen'!$B$5:$B$175,"Hauptliste")</x:f>
        <x:v>472.5</x:v>
      </x:c>
      <x:c r="E20" s="5" t="n">
        <x:f>SUMIFS('DATEV 31.12.24'!$I$5:$I$793,'DATEV 31.12.24'!$B$5:$B$793,A20)</x:f>
        <x:v>472.5</x:v>
      </x:c>
      <x:c r="F20" s="5" t="n">
        <x:f>D20-E20</x:f>
        <x:v>0</x:v>
      </x:c>
      <x:c r="G20" s="5" t="n">
        <x:f>SUMIFS('Nachtrag'!$D$5:$D$28,'Nachtrag'!$F$5:$F$28,A20)</x:f>
        <x:v>0</x:v>
      </x:c>
      <x:c r="H20" s="2" t="str">
        <x:f>IF(A20=10069,"2023-Sammelbetrag einzeln klären",IF(COUNTIFS('Mandantenzeilen'!$D$5:$D$175,A20,'Mandantenzeilen'!$B$5:$B$175,"Hauptliste")=0,"Nur in DATEV-OPOS",IF(ABS(F20)&gt;0.01,"Abweichung zum 31.12.","Kontensaldo gleich")))</x:f>
        <x:v>Kontensaldo gleich</x:v>
      </x:c>
      <x:c r="I20" s="2"/>
      <x:c r="J20" s="2"/>
      <x:c r="K20" s="2"/>
      <x:c r="L20" s="2"/>
      <x:c r="M20" s="2"/>
      <x:c r="N20" s="2"/>
    </x:row>
    <x:row r="21">
      <x:c r="A21" t="n">
        <x:v>10061</x:v>
      </x:c>
      <x:c r="B21" t="str">
        <x:v>Callum Kay TransfareWise</x:v>
      </x:c>
      <x:c r="C21" s="6" t="n">
        <x:f>SUMIFS('Mandantenzeilen'!$L$5:$L$175,'Mandantenzeilen'!$D$5:$D$175,A21,'Mandantenzeilen'!$B$5:$B$175,"Hauptliste")</x:f>
        <x:v>0</x:v>
      </x:c>
      <x:c r="D21" s="6" t="n">
        <x:f>SUMIFS('Mandantenzeilen'!$M$5:$M$175,'Mandantenzeilen'!$D$5:$D$175,A21,'Mandantenzeilen'!$B$5:$B$175,"Hauptliste")</x:f>
        <x:v>0</x:v>
      </x:c>
      <x:c r="E21" s="6" t="n">
        <x:f>SUMIFS('DATEV 31.12.24'!$I$5:$I$793,'DATEV 31.12.24'!$B$5:$B$793,A21)</x:f>
        <x:v>-35</x:v>
      </x:c>
      <x:c r="F21" s="6" t="n">
        <x:f>D21-E21</x:f>
        <x:v>35</x:v>
      </x:c>
      <x:c r="G21" s="6" t="n">
        <x:f>SUMIFS('Nachtrag'!$D$5:$D$28,'Nachtrag'!$F$5:$F$28,A21)</x:f>
        <x:v>0</x:v>
      </x:c>
      <x:c r="H21" t="str">
        <x:f>IF(A21=10069,"2023-Sammelbetrag einzeln klären",IF(COUNTIFS('Mandantenzeilen'!$D$5:$D$175,A21,'Mandantenzeilen'!$B$5:$B$175,"Hauptliste")=0,"Nur in DATEV-OPOS",IF(ABS(F21)&gt;0.01,"Abweichung zum 31.12.","Kontensaldo gleich")))</x:f>
        <x:v>Nur in DATEV-OPOS</x:v>
      </x:c>
    </x:row>
    <x:row r="22">
      <x:c r="A22" t="n">
        <x:v>10065</x:v>
      </x:c>
      <x:c r="B22" t="str">
        <x:v>Annalena Baumgärnter</x:v>
      </x:c>
      <x:c r="C22" s="6" t="n">
        <x:f>SUMIFS('Mandantenzeilen'!$L$5:$L$175,'Mandantenzeilen'!$D$5:$D$175,A22,'Mandantenzeilen'!$B$5:$B$175,"Hauptliste")</x:f>
        <x:v>30</x:v>
      </x:c>
      <x:c r="D22" s="6" t="n">
        <x:f>SUMIFS('Mandantenzeilen'!$M$5:$M$175,'Mandantenzeilen'!$D$5:$D$175,A22,'Mandantenzeilen'!$B$5:$B$175,"Hauptliste")</x:f>
        <x:v>30</x:v>
      </x:c>
      <x:c r="E22" s="6" t="n">
        <x:f>SUMIFS('DATEV 31.12.24'!$I$5:$I$793,'DATEV 31.12.24'!$B$5:$B$793,A22)</x:f>
        <x:v>30</x:v>
      </x:c>
      <x:c r="F22" s="6" t="n">
        <x:f>D22-E22</x:f>
        <x:v>0</x:v>
      </x:c>
      <x:c r="G22" s="6" t="n">
        <x:f>SUMIFS('Nachtrag'!$D$5:$D$28,'Nachtrag'!$F$5:$F$28,A22)</x:f>
        <x:v>0</x:v>
      </x:c>
      <x:c r="H22" t="str">
        <x:f>IF(A22=10069,"2023-Sammelbetrag einzeln klären",IF(COUNTIFS('Mandantenzeilen'!$D$5:$D$175,A22,'Mandantenzeilen'!$B$5:$B$175,"Hauptliste")=0,"Nur in DATEV-OPOS",IF(ABS(F22)&gt;0.01,"Abweichung zum 31.12.","Kontensaldo gleich")))</x:f>
        <x:v>Kontensaldo gleich</x:v>
      </x:c>
    </x:row>
    <x:row r="23">
      <x:c r="A23" t="n">
        <x:v>10068</x:v>
      </x:c>
      <x:c r="B23" t="str">
        <x:v>Anna Herzog</x:v>
      </x:c>
      <x:c r="C23" s="6" t="n">
        <x:f>SUMIFS('Mandantenzeilen'!$L$5:$L$175,'Mandantenzeilen'!$D$5:$D$175,A23,'Mandantenzeilen'!$B$5:$B$175,"Hauptliste")</x:f>
        <x:v>0</x:v>
      </x:c>
      <x:c r="D23" s="6" t="n">
        <x:f>SUMIFS('Mandantenzeilen'!$M$5:$M$175,'Mandantenzeilen'!$D$5:$D$175,A23,'Mandantenzeilen'!$B$5:$B$175,"Hauptliste")</x:f>
        <x:v>1120</x:v>
      </x:c>
      <x:c r="E23" s="6" t="n">
        <x:f>SUMIFS('DATEV 31.12.24'!$I$5:$I$793,'DATEV 31.12.24'!$B$5:$B$793,A23)</x:f>
        <x:v>1120</x:v>
      </x:c>
      <x:c r="F23" s="6" t="n">
        <x:f>D23-E23</x:f>
        <x:v>0</x:v>
      </x:c>
      <x:c r="G23" s="6" t="n">
        <x:f>SUMIFS('Nachtrag'!$D$5:$D$28,'Nachtrag'!$F$5:$F$28,A23)</x:f>
        <x:v>0</x:v>
      </x:c>
      <x:c r="H23" t="str">
        <x:f>IF(A23=10069,"2023-Sammelbetrag einzeln klären",IF(COUNTIFS('Mandantenzeilen'!$D$5:$D$175,A23,'Mandantenzeilen'!$B$5:$B$175,"Hauptliste")=0,"Nur in DATEV-OPOS",IF(ABS(F23)&gt;0.01,"Abweichung zum 31.12.","Kontensaldo gleich")))</x:f>
        <x:v>Kontensaldo gleich</x:v>
      </x:c>
    </x:row>
    <x:row r="24">
      <x:c r="A24" t="n">
        <x:v>10069</x:v>
      </x:c>
      <x:c r="B24" t="str">
        <x:v>Zahlungseingänge 2023</x:v>
      </x:c>
      <x:c r="C24" s="6" t="n">
        <x:f>SUMIFS('Mandantenzeilen'!$L$5:$L$175,'Mandantenzeilen'!$D$5:$D$175,A24,'Mandantenzeilen'!$B$5:$B$175,"Hauptliste")</x:f>
        <x:v>56387.06999999999</x:v>
      </x:c>
      <x:c r="D24" s="6" t="n">
        <x:f>SUMIFS('Mandantenzeilen'!$M$5:$M$175,'Mandantenzeilen'!$D$5:$D$175,A24,'Mandantenzeilen'!$B$5:$B$175,"Hauptliste")</x:f>
        <x:v>57919.67</x:v>
      </x:c>
      <x:c r="E24" s="6" t="n">
        <x:f>SUMIFS('DATEV 31.12.24'!$I$5:$I$793,'DATEV 31.12.24'!$B$5:$B$793,A24)</x:f>
        <x:v>-1357</x:v>
      </x:c>
      <x:c r="F24" s="6" t="n">
        <x:f>D24-E24</x:f>
        <x:v>59276.67</x:v>
      </x:c>
      <x:c r="G24" s="6" t="n">
        <x:f>SUMIFS('Nachtrag'!$D$5:$D$28,'Nachtrag'!$F$5:$F$28,A24)</x:f>
        <x:v>0</x:v>
      </x:c>
      <x:c r="H24" t="str">
        <x:f>IF(A24=10069,"2023-Sammelbetrag einzeln klären",IF(COUNTIFS('Mandantenzeilen'!$D$5:$D$175,A24,'Mandantenzeilen'!$B$5:$B$175,"Hauptliste")=0,"Nur in DATEV-OPOS",IF(ABS(F24)&gt;0.01,"Abweichung zum 31.12.","Kontensaldo gleich")))</x:f>
        <x:v>2023-Sammelbetrag einzeln klären</x:v>
      </x:c>
    </x:row>
    <x:row r="25">
      <x:c r="A25" t="n">
        <x:v>10071</x:v>
      </x:c>
      <x:c r="B25" t="str">
        <x:v>Jara Maier</x:v>
      </x:c>
      <x:c r="C25" s="6" t="n">
        <x:f>SUMIFS('Mandantenzeilen'!$L$5:$L$175,'Mandantenzeilen'!$D$5:$D$175,A25,'Mandantenzeilen'!$B$5:$B$175,"Hauptliste")</x:f>
        <x:v>6885</x:v>
      </x:c>
      <x:c r="D25" s="6" t="n">
        <x:f>SUMIFS('Mandantenzeilen'!$M$5:$M$175,'Mandantenzeilen'!$D$5:$D$175,A25,'Mandantenzeilen'!$B$5:$B$175,"Hauptliste")</x:f>
        <x:v>6885</x:v>
      </x:c>
      <x:c r="E25" s="6" t="n">
        <x:f>SUMIFS('DATEV 31.12.24'!$I$5:$I$793,'DATEV 31.12.24'!$B$5:$B$793,A25)</x:f>
        <x:v>6885</x:v>
      </x:c>
      <x:c r="F25" s="6" t="n">
        <x:f>D25-E25</x:f>
        <x:v>0</x:v>
      </x:c>
      <x:c r="G25" s="6" t="n">
        <x:f>SUMIFS('Nachtrag'!$D$5:$D$28,'Nachtrag'!$F$5:$F$28,A25)</x:f>
        <x:v>0</x:v>
      </x:c>
      <x:c r="H25" t="str">
        <x:f>IF(A25=10069,"2023-Sammelbetrag einzeln klären",IF(COUNTIFS('Mandantenzeilen'!$D$5:$D$175,A25,'Mandantenzeilen'!$B$5:$B$175,"Hauptliste")=0,"Nur in DATEV-OPOS",IF(ABS(F25)&gt;0.01,"Abweichung zum 31.12.","Kontensaldo gleich")))</x:f>
        <x:v>Kontensaldo gleich</x:v>
      </x:c>
    </x:row>
    <x:row r="26">
      <x:c r="A26" t="n">
        <x:v>10072</x:v>
      </x:c>
      <x:c r="B26" t="str">
        <x:v>Carla Frey</x:v>
      </x:c>
      <x:c r="C26" s="6" t="n">
        <x:f>SUMIFS('Mandantenzeilen'!$L$5:$L$175,'Mandantenzeilen'!$D$5:$D$175,A26,'Mandantenzeilen'!$B$5:$B$175,"Hauptliste")</x:f>
        <x:v>7340</x:v>
      </x:c>
      <x:c r="D26" s="6" t="n">
        <x:f>SUMIFS('Mandantenzeilen'!$M$5:$M$175,'Mandantenzeilen'!$D$5:$D$175,A26,'Mandantenzeilen'!$B$5:$B$175,"Hauptliste")</x:f>
        <x:v>7340</x:v>
      </x:c>
      <x:c r="E26" s="6" t="n">
        <x:f>SUMIFS('DATEV 31.12.24'!$I$5:$I$793,'DATEV 31.12.24'!$B$5:$B$793,A26)</x:f>
        <x:v>8480</x:v>
      </x:c>
      <x:c r="F26" s="6" t="n">
        <x:f>D26-E26</x:f>
        <x:v>-1140</x:v>
      </x:c>
      <x:c r="G26" s="6" t="n">
        <x:f>SUMIFS('Nachtrag'!$D$5:$D$28,'Nachtrag'!$F$5:$F$28,A26)</x:f>
        <x:v>0</x:v>
      </x:c>
      <x:c r="H26" t="str">
        <x:f>IF(A26=10069,"2023-Sammelbetrag einzeln klären",IF(COUNTIFS('Mandantenzeilen'!$D$5:$D$175,A26,'Mandantenzeilen'!$B$5:$B$175,"Hauptliste")=0,"Nur in DATEV-OPOS",IF(ABS(F26)&gt;0.01,"Abweichung zum 31.12.","Kontensaldo gleich")))</x:f>
        <x:v>Abweichung zum 31.12.</x:v>
      </x:c>
    </x:row>
    <x:row r="27">
      <x:c r="A27" t="n">
        <x:v>10080</x:v>
      </x:c>
      <x:c r="B27" t="str">
        <x:v>Vivien Ullrich</x:v>
      </x:c>
      <x:c r="C27" s="6" t="n">
        <x:f>SUMIFS('Mandantenzeilen'!$L$5:$L$175,'Mandantenzeilen'!$D$5:$D$175,A27,'Mandantenzeilen'!$B$5:$B$175,"Hauptliste")</x:f>
        <x:v>1632</x:v>
      </x:c>
      <x:c r="D27" s="6" t="n">
        <x:f>SUMIFS('Mandantenzeilen'!$M$5:$M$175,'Mandantenzeilen'!$D$5:$D$175,A27,'Mandantenzeilen'!$B$5:$B$175,"Hauptliste")</x:f>
        <x:v>1632</x:v>
      </x:c>
      <x:c r="E27" s="6" t="n">
        <x:f>SUMIFS('DATEV 31.12.24'!$I$5:$I$793,'DATEV 31.12.24'!$B$5:$B$793,A27)</x:f>
        <x:v>1632</x:v>
      </x:c>
      <x:c r="F27" s="6" t="n">
        <x:f>D27-E27</x:f>
        <x:v>0</x:v>
      </x:c>
      <x:c r="G27" s="6" t="n">
        <x:f>SUMIFS('Nachtrag'!$D$5:$D$28,'Nachtrag'!$F$5:$F$28,A27)</x:f>
        <x:v>0</x:v>
      </x:c>
      <x:c r="H27" t="str">
        <x:f>IF(A27=10069,"2023-Sammelbetrag einzeln klären",IF(COUNTIFS('Mandantenzeilen'!$D$5:$D$175,A27,'Mandantenzeilen'!$B$5:$B$175,"Hauptliste")=0,"Nur in DATEV-OPOS",IF(ABS(F27)&gt;0.01,"Abweichung zum 31.12.","Kontensaldo gleich")))</x:f>
        <x:v>Kontensaldo gleich</x:v>
      </x:c>
    </x:row>
    <x:row r="28">
      <x:c r="A28" t="n">
        <x:v>10081</x:v>
      </x:c>
      <x:c r="B28" t="str">
        <x:v>Alane Pessemesse</x:v>
      </x:c>
      <x:c r="C28" s="6" t="n">
        <x:f>SUMIFS('Mandantenzeilen'!$L$5:$L$175,'Mandantenzeilen'!$D$5:$D$175,A28,'Mandantenzeilen'!$B$5:$B$175,"Hauptliste")</x:f>
        <x:v>788</x:v>
      </x:c>
      <x:c r="D28" s="6" t="n">
        <x:f>SUMIFS('Mandantenzeilen'!$M$5:$M$175,'Mandantenzeilen'!$D$5:$D$175,A28,'Mandantenzeilen'!$B$5:$B$175,"Hauptliste")</x:f>
        <x:v>788</x:v>
      </x:c>
      <x:c r="E28" s="6" t="n">
        <x:f>SUMIFS('DATEV 31.12.24'!$I$5:$I$793,'DATEV 31.12.24'!$B$5:$B$793,A28)</x:f>
        <x:v>788</x:v>
      </x:c>
      <x:c r="F28" s="6" t="n">
        <x:f>D28-E28</x:f>
        <x:v>0</x:v>
      </x:c>
      <x:c r="G28" s="6" t="n">
        <x:f>SUMIFS('Nachtrag'!$D$5:$D$28,'Nachtrag'!$F$5:$F$28,A28)</x:f>
        <x:v>0</x:v>
      </x:c>
      <x:c r="H28" t="str">
        <x:f>IF(A28=10069,"2023-Sammelbetrag einzeln klären",IF(COUNTIFS('Mandantenzeilen'!$D$5:$D$175,A28,'Mandantenzeilen'!$B$5:$B$175,"Hauptliste")=0,"Nur in DATEV-OPOS",IF(ABS(F28)&gt;0.01,"Abweichung zum 31.12.","Kontensaldo gleich")))</x:f>
        <x:v>Kontensaldo gleich</x:v>
      </x:c>
    </x:row>
    <x:row r="29">
      <x:c r="A29" t="n">
        <x:v>10083</x:v>
      </x:c>
      <x:c r="B29" t="str">
        <x:v>Alis Sherrington</x:v>
      </x:c>
      <x:c r="C29" s="6" t="n">
        <x:f>SUMIFS('Mandantenzeilen'!$L$5:$L$175,'Mandantenzeilen'!$D$5:$D$175,A29,'Mandantenzeilen'!$B$5:$B$175,"Hauptliste")</x:f>
        <x:v>663.99</x:v>
      </x:c>
      <x:c r="D29" s="6" t="n">
        <x:f>SUMIFS('Mandantenzeilen'!$M$5:$M$175,'Mandantenzeilen'!$D$5:$D$175,A29,'Mandantenzeilen'!$B$5:$B$175,"Hauptliste")</x:f>
        <x:v>663.99</x:v>
      </x:c>
      <x:c r="E29" s="6" t="n">
        <x:f>SUMIFS('DATEV 31.12.24'!$I$5:$I$793,'DATEV 31.12.24'!$B$5:$B$793,A29)</x:f>
        <x:v>663.99</x:v>
      </x:c>
      <x:c r="F29" s="6" t="n">
        <x:f>D29-E29</x:f>
        <x:v>0</x:v>
      </x:c>
      <x:c r="G29" s="6" t="n">
        <x:f>SUMIFS('Nachtrag'!$D$5:$D$28,'Nachtrag'!$F$5:$F$28,A29)</x:f>
        <x:v>0</x:v>
      </x:c>
      <x:c r="H29" t="str">
        <x:f>IF(A29=10069,"2023-Sammelbetrag einzeln klären",IF(COUNTIFS('Mandantenzeilen'!$D$5:$D$175,A29,'Mandantenzeilen'!$B$5:$B$175,"Hauptliste")=0,"Nur in DATEV-OPOS",IF(ABS(F29)&gt;0.01,"Abweichung zum 31.12.","Kontensaldo gleich")))</x:f>
        <x:v>Kontensaldo gleich</x:v>
      </x:c>
    </x:row>
    <x:row r="30">
      <x:c r="A30" t="n">
        <x:v>10085</x:v>
      </x:c>
      <x:c r="B30" t="str">
        <x:v>Luttmann Dorothea</x:v>
      </x:c>
      <x:c r="C30" s="6" t="n">
        <x:f>SUMIFS('Mandantenzeilen'!$L$5:$L$175,'Mandantenzeilen'!$D$5:$D$175,A30,'Mandantenzeilen'!$B$5:$B$175,"Hauptliste")</x:f>
        <x:v>0</x:v>
      </x:c>
      <x:c r="D30" s="6" t="n">
        <x:f>SUMIFS('Mandantenzeilen'!$M$5:$M$175,'Mandantenzeilen'!$D$5:$D$175,A30,'Mandantenzeilen'!$B$5:$B$175,"Hauptliste")</x:f>
        <x:v>0</x:v>
      </x:c>
      <x:c r="E30" s="6" t="n">
        <x:f>SUMIFS('DATEV 31.12.24'!$I$5:$I$793,'DATEV 31.12.24'!$B$5:$B$793,A30)</x:f>
        <x:v>1333</x:v>
      </x:c>
      <x:c r="F30" s="6" t="n">
        <x:f>D30-E30</x:f>
        <x:v>-1333</x:v>
      </x:c>
      <x:c r="G30" s="6" t="n">
        <x:f>SUMIFS('Nachtrag'!$D$5:$D$28,'Nachtrag'!$F$5:$F$28,A30)</x:f>
        <x:v>0</x:v>
      </x:c>
      <x:c r="H30" t="str">
        <x:f>IF(A30=10069,"2023-Sammelbetrag einzeln klären",IF(COUNTIFS('Mandantenzeilen'!$D$5:$D$175,A30,'Mandantenzeilen'!$B$5:$B$175,"Hauptliste")=0,"Nur in DATEV-OPOS",IF(ABS(F30)&gt;0.01,"Abweichung zum 31.12.","Kontensaldo gleich")))</x:f>
        <x:v>Nur in DATEV-OPOS</x:v>
      </x:c>
    </x:row>
    <x:row r="31">
      <x:c r="A31" t="n">
        <x:v>10087</x:v>
      </x:c>
      <x:c r="B31" t="str">
        <x:v>Carmen Kemmer</x:v>
      </x:c>
      <x:c r="C31" s="6" t="n">
        <x:f>SUMIFS('Mandantenzeilen'!$L$5:$L$175,'Mandantenzeilen'!$D$5:$D$175,A31,'Mandantenzeilen'!$B$5:$B$175,"Hauptliste")</x:f>
        <x:v>523</x:v>
      </x:c>
      <x:c r="D31" s="6" t="n">
        <x:f>SUMIFS('Mandantenzeilen'!$M$5:$M$175,'Mandantenzeilen'!$D$5:$D$175,A31,'Mandantenzeilen'!$B$5:$B$175,"Hauptliste")</x:f>
        <x:v>523</x:v>
      </x:c>
      <x:c r="E31" s="6" t="n">
        <x:f>SUMIFS('DATEV 31.12.24'!$I$5:$I$793,'DATEV 31.12.24'!$B$5:$B$793,A31)</x:f>
        <x:v>523</x:v>
      </x:c>
      <x:c r="F31" s="6" t="n">
        <x:f>D31-E31</x:f>
        <x:v>0</x:v>
      </x:c>
      <x:c r="G31" s="6" t="n">
        <x:f>SUMIFS('Nachtrag'!$D$5:$D$28,'Nachtrag'!$F$5:$F$28,A31)</x:f>
        <x:v>0</x:v>
      </x:c>
      <x:c r="H31" t="str">
        <x:f>IF(A31=10069,"2023-Sammelbetrag einzeln klären",IF(COUNTIFS('Mandantenzeilen'!$D$5:$D$175,A31,'Mandantenzeilen'!$B$5:$B$175,"Hauptliste")=0,"Nur in DATEV-OPOS",IF(ABS(F31)&gt;0.01,"Abweichung zum 31.12.","Kontensaldo gleich")))</x:f>
        <x:v>Kontensaldo gleich</x:v>
      </x:c>
    </x:row>
    <x:row r="32">
      <x:c r="A32" t="n">
        <x:v>10089</x:v>
      </x:c>
      <x:c r="B32" t="str">
        <x:v>Eva Friedrich</x:v>
      </x:c>
      <x:c r="C32" s="6" t="n">
        <x:f>SUMIFS('Mandantenzeilen'!$L$5:$L$175,'Mandantenzeilen'!$D$5:$D$175,A32,'Mandantenzeilen'!$B$5:$B$175,"Hauptliste")</x:f>
        <x:v>-720</x:v>
      </x:c>
      <x:c r="D32" s="6" t="n">
        <x:f>SUMIFS('Mandantenzeilen'!$M$5:$M$175,'Mandantenzeilen'!$D$5:$D$175,A32,'Mandantenzeilen'!$B$5:$B$175,"Hauptliste")</x:f>
        <x:v>-720</x:v>
      </x:c>
      <x:c r="E32" s="6" t="n">
        <x:f>SUMIFS('DATEV 31.12.24'!$I$5:$I$793,'DATEV 31.12.24'!$B$5:$B$793,A32)</x:f>
        <x:v>-720</x:v>
      </x:c>
      <x:c r="F32" s="6" t="n">
        <x:f>D32-E32</x:f>
        <x:v>0</x:v>
      </x:c>
      <x:c r="G32" s="6" t="n">
        <x:f>SUMIFS('Nachtrag'!$D$5:$D$28,'Nachtrag'!$F$5:$F$28,A32)</x:f>
        <x:v>0</x:v>
      </x:c>
      <x:c r="H32" t="str">
        <x:f>IF(A32=10069,"2023-Sammelbetrag einzeln klären",IF(COUNTIFS('Mandantenzeilen'!$D$5:$D$175,A32,'Mandantenzeilen'!$B$5:$B$175,"Hauptliste")=0,"Nur in DATEV-OPOS",IF(ABS(F32)&gt;0.01,"Abweichung zum 31.12.","Kontensaldo gleich")))</x:f>
        <x:v>Kontensaldo gleich</x:v>
      </x:c>
    </x:row>
    <x:row r="33">
      <x:c r="A33" t="n">
        <x:v>10092</x:v>
      </x:c>
      <x:c r="B33" t="str">
        <x:v>Fischer Stefan 2024-199</x:v>
      </x:c>
      <x:c r="C33" s="6" t="n">
        <x:f>SUMIFS('Mandantenzeilen'!$L$5:$L$175,'Mandantenzeilen'!$D$5:$D$175,A33,'Mandantenzeilen'!$B$5:$B$175,"Hauptliste")</x:f>
        <x:v>0</x:v>
      </x:c>
      <x:c r="D33" s="6" t="n">
        <x:f>SUMIFS('Mandantenzeilen'!$M$5:$M$175,'Mandantenzeilen'!$D$5:$D$175,A33,'Mandantenzeilen'!$B$5:$B$175,"Hauptliste")</x:f>
        <x:v>0</x:v>
      </x:c>
      <x:c r="E33" s="6" t="n">
        <x:f>SUMIFS('DATEV 31.12.24'!$I$5:$I$793,'DATEV 31.12.24'!$B$5:$B$793,A33)</x:f>
        <x:v>-1171.2</x:v>
      </x:c>
      <x:c r="F33" s="6" t="n">
        <x:f>D33-E33</x:f>
        <x:v>1171.2</x:v>
      </x:c>
      <x:c r="G33" s="6" t="n">
        <x:f>SUMIFS('Nachtrag'!$D$5:$D$28,'Nachtrag'!$F$5:$F$28,A33)</x:f>
        <x:v>0</x:v>
      </x:c>
      <x:c r="H33" t="str">
        <x:f>IF(A33=10069,"2023-Sammelbetrag einzeln klären",IF(COUNTIFS('Mandantenzeilen'!$D$5:$D$175,A33,'Mandantenzeilen'!$B$5:$B$175,"Hauptliste")=0,"Nur in DATEV-OPOS",IF(ABS(F33)&gt;0.01,"Abweichung zum 31.12.","Kontensaldo gleich")))</x:f>
        <x:v>Nur in DATEV-OPOS</x:v>
      </x:c>
    </x:row>
    <x:row r="34">
      <x:c r="A34" t="n">
        <x:v>10095</x:v>
      </x:c>
      <x:c r="B34" t="str">
        <x:v>Jamie Cole</x:v>
      </x:c>
      <x:c r="C34" s="6" t="n">
        <x:f>SUMIFS('Mandantenzeilen'!$L$5:$L$175,'Mandantenzeilen'!$D$5:$D$175,A34,'Mandantenzeilen'!$B$5:$B$175,"Hauptliste")</x:f>
        <x:v>1185</x:v>
      </x:c>
      <x:c r="D34" s="6" t="n">
        <x:f>SUMIFS('Mandantenzeilen'!$M$5:$M$175,'Mandantenzeilen'!$D$5:$D$175,A34,'Mandantenzeilen'!$B$5:$B$175,"Hauptliste")</x:f>
        <x:v>1185</x:v>
      </x:c>
      <x:c r="E34" s="6" t="n">
        <x:f>SUMIFS('DATEV 31.12.24'!$I$5:$I$793,'DATEV 31.12.24'!$B$5:$B$793,A34)</x:f>
        <x:v>1185</x:v>
      </x:c>
      <x:c r="F34" s="6" t="n">
        <x:f>D34-E34</x:f>
        <x:v>0</x:v>
      </x:c>
      <x:c r="G34" s="6" t="n">
        <x:f>SUMIFS('Nachtrag'!$D$5:$D$28,'Nachtrag'!$F$5:$F$28,A34)</x:f>
        <x:v>0</x:v>
      </x:c>
      <x:c r="H34" t="str">
        <x:f>IF(A34=10069,"2023-Sammelbetrag einzeln klären",IF(COUNTIFS('Mandantenzeilen'!$D$5:$D$175,A34,'Mandantenzeilen'!$B$5:$B$175,"Hauptliste")=0,"Nur in DATEV-OPOS",IF(ABS(F34)&gt;0.01,"Abweichung zum 31.12.","Kontensaldo gleich")))</x:f>
        <x:v>Kontensaldo gleich</x:v>
      </x:c>
    </x:row>
    <x:row r="35">
      <x:c r="A35" t="n">
        <x:v>10096</x:v>
      </x:c>
      <x:c r="B35" t="str">
        <x:v>Lea Wette</x:v>
      </x:c>
      <x:c r="C35" s="6" t="n">
        <x:f>SUMIFS('Mandantenzeilen'!$L$5:$L$175,'Mandantenzeilen'!$D$5:$D$175,A35,'Mandantenzeilen'!$B$5:$B$175,"Hauptliste")</x:f>
        <x:v>81</x:v>
      </x:c>
      <x:c r="D35" s="6" t="n">
        <x:f>SUMIFS('Mandantenzeilen'!$M$5:$M$175,'Mandantenzeilen'!$D$5:$D$175,A35,'Mandantenzeilen'!$B$5:$B$175,"Hauptliste")</x:f>
        <x:v>81</x:v>
      </x:c>
      <x:c r="E35" s="6" t="n">
        <x:f>SUMIFS('DATEV 31.12.24'!$I$5:$I$793,'DATEV 31.12.24'!$B$5:$B$793,A35)</x:f>
        <x:v>2460</x:v>
      </x:c>
      <x:c r="F35" s="6" t="n">
        <x:f>D35-E35</x:f>
        <x:v>-2379</x:v>
      </x:c>
      <x:c r="G35" s="6" t="n">
        <x:f>SUMIFS('Nachtrag'!$D$5:$D$28,'Nachtrag'!$F$5:$F$28,A35)</x:f>
        <x:v>0</x:v>
      </x:c>
      <x:c r="H35" t="str">
        <x:f>IF(A35=10069,"2023-Sammelbetrag einzeln klären",IF(COUNTIFS('Mandantenzeilen'!$D$5:$D$175,A35,'Mandantenzeilen'!$B$5:$B$175,"Hauptliste")=0,"Nur in DATEV-OPOS",IF(ABS(F35)&gt;0.01,"Abweichung zum 31.12.","Kontensaldo gleich")))</x:f>
        <x:v>Abweichung zum 31.12.</x:v>
      </x:c>
    </x:row>
    <x:row r="36">
      <x:c r="A36" t="n">
        <x:v>10100</x:v>
      </x:c>
      <x:c r="B36" t="str">
        <x:v>bayha</x:v>
      </x:c>
      <x:c r="C36" s="6" t="n">
        <x:f>SUMIFS('Mandantenzeilen'!$L$5:$L$175,'Mandantenzeilen'!$D$5:$D$175,A36,'Mandantenzeilen'!$B$5:$B$175,"Hauptliste")</x:f>
        <x:v>0</x:v>
      </x:c>
      <x:c r="D36" s="6" t="n">
        <x:f>SUMIFS('Mandantenzeilen'!$M$5:$M$175,'Mandantenzeilen'!$D$5:$D$175,A36,'Mandantenzeilen'!$B$5:$B$175,"Hauptliste")</x:f>
        <x:v>0</x:v>
      </x:c>
      <x:c r="E36" s="6" t="n">
        <x:f>SUMIFS('DATEV 31.12.24'!$I$5:$I$793,'DATEV 31.12.24'!$B$5:$B$793,A36)</x:f>
        <x:v>1553.0999999999985</x:v>
      </x:c>
      <x:c r="F36" s="6" t="n">
        <x:f>D36-E36</x:f>
        <x:v>-1553.0999999999985</x:v>
      </x:c>
      <x:c r="G36" s="6" t="n">
        <x:f>SUMIFS('Nachtrag'!$D$5:$D$28,'Nachtrag'!$F$5:$F$28,A36)</x:f>
        <x:v>0</x:v>
      </x:c>
      <x:c r="H36" t="str">
        <x:f>IF(A36=10069,"2023-Sammelbetrag einzeln klären",IF(COUNTIFS('Mandantenzeilen'!$D$5:$D$175,A36,'Mandantenzeilen'!$B$5:$B$175,"Hauptliste")=0,"Nur in DATEV-OPOS",IF(ABS(F36)&gt;0.01,"Abweichung zum 31.12.","Kontensaldo gleich")))</x:f>
        <x:v>Nur in DATEV-OPOS</x:v>
      </x:c>
    </x:row>
    <x:row r="37">
      <x:c r="A37" t="n">
        <x:v>10103</x:v>
      </x:c>
      <x:c r="B37" t="str">
        <x:v>Marie Müller</x:v>
      </x:c>
      <x:c r="C37" s="6" t="n">
        <x:f>SUMIFS('Mandantenzeilen'!$L$5:$L$175,'Mandantenzeilen'!$D$5:$D$175,A37,'Mandantenzeilen'!$B$5:$B$175,"Hauptliste")</x:f>
        <x:v>0</x:v>
      </x:c>
      <x:c r="D37" s="6" t="n">
        <x:f>SUMIFS('Mandantenzeilen'!$M$5:$M$175,'Mandantenzeilen'!$D$5:$D$175,A37,'Mandantenzeilen'!$B$5:$B$175,"Hauptliste")</x:f>
        <x:v>190</x:v>
      </x:c>
      <x:c r="E37" s="6" t="n">
        <x:f>SUMIFS('DATEV 31.12.24'!$I$5:$I$793,'DATEV 31.12.24'!$B$5:$B$793,A37)</x:f>
        <x:v>380</x:v>
      </x:c>
      <x:c r="F37" s="6" t="n">
        <x:f>D37-E37</x:f>
        <x:v>-190</x:v>
      </x:c>
      <x:c r="G37" s="6" t="n">
        <x:f>SUMIFS('Nachtrag'!$D$5:$D$28,'Nachtrag'!$F$5:$F$28,A37)</x:f>
        <x:v>0</x:v>
      </x:c>
      <x:c r="H37" t="str">
        <x:f>IF(A37=10069,"2023-Sammelbetrag einzeln klären",IF(COUNTIFS('Mandantenzeilen'!$D$5:$D$175,A37,'Mandantenzeilen'!$B$5:$B$175,"Hauptliste")=0,"Nur in DATEV-OPOS",IF(ABS(F37)&gt;0.01,"Abweichung zum 31.12.","Kontensaldo gleich")))</x:f>
        <x:v>Abweichung zum 31.12.</x:v>
      </x:c>
    </x:row>
    <x:row r="38">
      <x:c r="A38" t="n">
        <x:v>10105</x:v>
      </x:c>
      <x:c r="B38" t="str">
        <x:v>Drissa Dolumbia</x:v>
      </x:c>
      <x:c r="C38" s="6" t="n">
        <x:f>SUMIFS('Mandantenzeilen'!$L$5:$L$175,'Mandantenzeilen'!$D$5:$D$175,A38,'Mandantenzeilen'!$B$5:$B$175,"Hauptliste")</x:f>
        <x:v>3820</x:v>
      </x:c>
      <x:c r="D38" s="6" t="n">
        <x:f>SUMIFS('Mandantenzeilen'!$M$5:$M$175,'Mandantenzeilen'!$D$5:$D$175,A38,'Mandantenzeilen'!$B$5:$B$175,"Hauptliste")</x:f>
        <x:v>3820</x:v>
      </x:c>
      <x:c r="E38" s="6" t="n">
        <x:f>SUMIFS('DATEV 31.12.24'!$I$5:$I$793,'DATEV 31.12.24'!$B$5:$B$793,A38)</x:f>
        <x:v>0</x:v>
      </x:c>
      <x:c r="F38" s="6" t="n">
        <x:f>D38-E38</x:f>
        <x:v>3820</x:v>
      </x:c>
      <x:c r="G38" s="6" t="n">
        <x:f>SUMIFS('Nachtrag'!$D$5:$D$28,'Nachtrag'!$F$5:$F$28,A38)</x:f>
        <x:v>0</x:v>
      </x:c>
      <x:c r="H38" t="str">
        <x:f>IF(A38=10069,"2023-Sammelbetrag einzeln klären",IF(COUNTIFS('Mandantenzeilen'!$D$5:$D$175,A38,'Mandantenzeilen'!$B$5:$B$175,"Hauptliste")=0,"Nur in DATEV-OPOS",IF(ABS(F38)&gt;0.01,"Abweichung zum 31.12.","Kontensaldo gleich")))</x:f>
        <x:v>Abweichung zum 31.12.</x:v>
      </x:c>
    </x:row>
    <x:row r="39">
      <x:c r="A39" t="n">
        <x:v>10106</x:v>
      </x:c>
      <x:c r="B39" t="str">
        <x:v>Ayer Desiree 2024-215</x:v>
      </x:c>
      <x:c r="C39" s="6" t="n">
        <x:f>SUMIFS('Mandantenzeilen'!$L$5:$L$175,'Mandantenzeilen'!$D$5:$D$175,A39,'Mandantenzeilen'!$B$5:$B$175,"Hauptliste")</x:f>
        <x:v>0</x:v>
      </x:c>
      <x:c r="D39" s="6" t="n">
        <x:f>SUMIFS('Mandantenzeilen'!$M$5:$M$175,'Mandantenzeilen'!$D$5:$D$175,A39,'Mandantenzeilen'!$B$5:$B$175,"Hauptliste")</x:f>
        <x:v>0</x:v>
      </x:c>
      <x:c r="E39" s="6" t="n">
        <x:f>SUMIFS('DATEV 31.12.24'!$I$5:$I$793,'DATEV 31.12.24'!$B$5:$B$793,A39)</x:f>
        <x:v>-316.8</x:v>
      </x:c>
      <x:c r="F39" s="6" t="n">
        <x:f>D39-E39</x:f>
        <x:v>316.8</x:v>
      </x:c>
      <x:c r="G39" s="6" t="n">
        <x:f>SUMIFS('Nachtrag'!$D$5:$D$28,'Nachtrag'!$F$5:$F$28,A39)</x:f>
        <x:v>0</x:v>
      </x:c>
      <x:c r="H39" t="str">
        <x:f>IF(A39=10069,"2023-Sammelbetrag einzeln klären",IF(COUNTIFS('Mandantenzeilen'!$D$5:$D$175,A39,'Mandantenzeilen'!$B$5:$B$175,"Hauptliste")=0,"Nur in DATEV-OPOS",IF(ABS(F39)&gt;0.01,"Abweichung zum 31.12.","Kontensaldo gleich")))</x:f>
        <x:v>Nur in DATEV-OPOS</x:v>
      </x:c>
    </x:row>
    <x:row r="40">
      <x:c r="A40" t="n">
        <x:v>10109</x:v>
      </x:c>
      <x:c r="B40" t="str">
        <x:v>Haley Lindale</x:v>
      </x:c>
      <x:c r="C40" s="6" t="n">
        <x:f>SUMIFS('Mandantenzeilen'!$L$5:$L$175,'Mandantenzeilen'!$D$5:$D$175,A40,'Mandantenzeilen'!$B$5:$B$175,"Hauptliste")</x:f>
        <x:v>293.49</x:v>
      </x:c>
      <x:c r="D40" s="6" t="n">
        <x:f>SUMIFS('Mandantenzeilen'!$M$5:$M$175,'Mandantenzeilen'!$D$5:$D$175,A40,'Mandantenzeilen'!$B$5:$B$175,"Hauptliste")</x:f>
        <x:v>293.49</x:v>
      </x:c>
      <x:c r="E40" s="6" t="n">
        <x:f>SUMIFS('DATEV 31.12.24'!$I$5:$I$793,'DATEV 31.12.24'!$B$5:$B$793,A40)</x:f>
        <x:v>293.49</x:v>
      </x:c>
      <x:c r="F40" s="6" t="n">
        <x:f>D40-E40</x:f>
        <x:v>0</x:v>
      </x:c>
      <x:c r="G40" s="6" t="n">
        <x:f>SUMIFS('Nachtrag'!$D$5:$D$28,'Nachtrag'!$F$5:$F$28,A40)</x:f>
        <x:v>0</x:v>
      </x:c>
      <x:c r="H40" t="str">
        <x:f>IF(A40=10069,"2023-Sammelbetrag einzeln klären",IF(COUNTIFS('Mandantenzeilen'!$D$5:$D$175,A40,'Mandantenzeilen'!$B$5:$B$175,"Hauptliste")=0,"Nur in DATEV-OPOS",IF(ABS(F40)&gt;0.01,"Abweichung zum 31.12.","Kontensaldo gleich")))</x:f>
        <x:v>Kontensaldo gleich</x:v>
      </x:c>
    </x:row>
    <x:row r="41">
      <x:c r="A41" t="n">
        <x:v>10110</x:v>
      </x:c>
      <x:c r="B41" t="str">
        <x:v>Marquez Sanchez Isabel</x:v>
      </x:c>
      <x:c r="C41" s="6" t="n">
        <x:f>SUMIFS('Mandantenzeilen'!$L$5:$L$175,'Mandantenzeilen'!$D$5:$D$175,A41,'Mandantenzeilen'!$B$5:$B$175,"Hauptliste")</x:f>
        <x:v>0</x:v>
      </x:c>
      <x:c r="D41" s="6" t="n">
        <x:f>SUMIFS('Mandantenzeilen'!$M$5:$M$175,'Mandantenzeilen'!$D$5:$D$175,A41,'Mandantenzeilen'!$B$5:$B$175,"Hauptliste")</x:f>
        <x:v>0</x:v>
      </x:c>
      <x:c r="E41" s="6" t="n">
        <x:f>SUMIFS('DATEV 31.12.24'!$I$5:$I$793,'DATEV 31.12.24'!$B$5:$B$793,A41)</x:f>
        <x:v>3829</x:v>
      </x:c>
      <x:c r="F41" s="6" t="n">
        <x:f>D41-E41</x:f>
        <x:v>-3829</x:v>
      </x:c>
      <x:c r="G41" s="6" t="n">
        <x:f>SUMIFS('Nachtrag'!$D$5:$D$28,'Nachtrag'!$F$5:$F$28,A41)</x:f>
        <x:v>0</x:v>
      </x:c>
      <x:c r="H41" t="str">
        <x:f>IF(A41=10069,"2023-Sammelbetrag einzeln klären",IF(COUNTIFS('Mandantenzeilen'!$D$5:$D$175,A41,'Mandantenzeilen'!$B$5:$B$175,"Hauptliste")=0,"Nur in DATEV-OPOS",IF(ABS(F41)&gt;0.01,"Abweichung zum 31.12.","Kontensaldo gleich")))</x:f>
        <x:v>Nur in DATEV-OPOS</x:v>
      </x:c>
    </x:row>
    <x:row r="42">
      <x:c r="A42" t="n">
        <x:v>10114</x:v>
      </x:c>
      <x:c r="B42" t="str">
        <x:v>Goettelmann Cecilee</x:v>
      </x:c>
      <x:c r="C42" s="6" t="n">
        <x:f>SUMIFS('Mandantenzeilen'!$L$5:$L$175,'Mandantenzeilen'!$D$5:$D$175,A42,'Mandantenzeilen'!$B$5:$B$175,"Hauptliste")</x:f>
        <x:v>0</x:v>
      </x:c>
      <x:c r="D42" s="6" t="n">
        <x:f>SUMIFS('Mandantenzeilen'!$M$5:$M$175,'Mandantenzeilen'!$D$5:$D$175,A42,'Mandantenzeilen'!$B$5:$B$175,"Hauptliste")</x:f>
        <x:v>0</x:v>
      </x:c>
      <x:c r="E42" s="6" t="n">
        <x:f>SUMIFS('DATEV 31.12.24'!$I$5:$I$793,'DATEV 31.12.24'!$B$5:$B$793,A42)</x:f>
        <x:v>276</x:v>
      </x:c>
      <x:c r="F42" s="6" t="n">
        <x:f>D42-E42</x:f>
        <x:v>-276</x:v>
      </x:c>
      <x:c r="G42" s="6" t="n">
        <x:f>SUMIFS('Nachtrag'!$D$5:$D$28,'Nachtrag'!$F$5:$F$28,A42)</x:f>
        <x:v>0</x:v>
      </x:c>
      <x:c r="H42" t="str">
        <x:f>IF(A42=10069,"2023-Sammelbetrag einzeln klären",IF(COUNTIFS('Mandantenzeilen'!$D$5:$D$175,A42,'Mandantenzeilen'!$B$5:$B$175,"Hauptliste")=0,"Nur in DATEV-OPOS",IF(ABS(F42)&gt;0.01,"Abweichung zum 31.12.","Kontensaldo gleich")))</x:f>
        <x:v>Nur in DATEV-OPOS</x:v>
      </x:c>
    </x:row>
    <x:row r="43">
      <x:c r="A43" t="n">
        <x:v>10121</x:v>
      </x:c>
      <x:c r="B43" t="str">
        <x:v>Simon Pirhofer</x:v>
      </x:c>
      <x:c r="C43" s="6" t="n">
        <x:f>SUMIFS('Mandantenzeilen'!$L$5:$L$175,'Mandantenzeilen'!$D$5:$D$175,A43,'Mandantenzeilen'!$B$5:$B$175,"Hauptliste")</x:f>
        <x:v>120</x:v>
      </x:c>
      <x:c r="D43" s="6" t="n">
        <x:f>SUMIFS('Mandantenzeilen'!$M$5:$M$175,'Mandantenzeilen'!$D$5:$D$175,A43,'Mandantenzeilen'!$B$5:$B$175,"Hauptliste")</x:f>
        <x:v>120</x:v>
      </x:c>
      <x:c r="E43" s="6" t="n">
        <x:f>SUMIFS('DATEV 31.12.24'!$I$5:$I$793,'DATEV 31.12.24'!$B$5:$B$793,A43)</x:f>
        <x:v>120</x:v>
      </x:c>
      <x:c r="F43" s="6" t="n">
        <x:f>D43-E43</x:f>
        <x:v>0</x:v>
      </x:c>
      <x:c r="G43" s="6" t="n">
        <x:f>SUMIFS('Nachtrag'!$D$5:$D$28,'Nachtrag'!$F$5:$F$28,A43)</x:f>
        <x:v>0</x:v>
      </x:c>
      <x:c r="H43" t="str">
        <x:f>IF(A43=10069,"2023-Sammelbetrag einzeln klären",IF(COUNTIFS('Mandantenzeilen'!$D$5:$D$175,A43,'Mandantenzeilen'!$B$5:$B$175,"Hauptliste")=0,"Nur in DATEV-OPOS",IF(ABS(F43)&gt;0.01,"Abweichung zum 31.12.","Kontensaldo gleich")))</x:f>
        <x:v>Kontensaldo gleich</x:v>
      </x:c>
    </x:row>
    <x:row r="44">
      <x:c r="A44" t="n">
        <x:v>10124</x:v>
      </x:c>
      <x:c r="B44" t="str">
        <x:v>Rahel Steiner</x:v>
      </x:c>
      <x:c r="C44" s="6" t="n">
        <x:f>SUMIFS('Mandantenzeilen'!$L$5:$L$175,'Mandantenzeilen'!$D$5:$D$175,A44,'Mandantenzeilen'!$B$5:$B$175,"Hauptliste")</x:f>
        <x:v>0</x:v>
      </x:c>
      <x:c r="D44" s="6" t="n">
        <x:f>SUMIFS('Mandantenzeilen'!$M$5:$M$175,'Mandantenzeilen'!$D$5:$D$175,A44,'Mandantenzeilen'!$B$5:$B$175,"Hauptliste")</x:f>
        <x:v>0</x:v>
      </x:c>
      <x:c r="E44" s="6" t="n">
        <x:f>SUMIFS('DATEV 31.12.24'!$I$5:$I$793,'DATEV 31.12.24'!$B$5:$B$793,A44)</x:f>
        <x:v>799</x:v>
      </x:c>
      <x:c r="F44" s="6" t="n">
        <x:f>D44-E44</x:f>
        <x:v>-799</x:v>
      </x:c>
      <x:c r="G44" s="6" t="n">
        <x:f>SUMIFS('Nachtrag'!$D$5:$D$28,'Nachtrag'!$F$5:$F$28,A44)</x:f>
        <x:v>0</x:v>
      </x:c>
      <x:c r="H44" t="str">
        <x:f>IF(A44=10069,"2023-Sammelbetrag einzeln klären",IF(COUNTIFS('Mandantenzeilen'!$D$5:$D$175,A44,'Mandantenzeilen'!$B$5:$B$175,"Hauptliste")=0,"Nur in DATEV-OPOS",IF(ABS(F44)&gt;0.01,"Abweichung zum 31.12.","Kontensaldo gleich")))</x:f>
        <x:v>Nur in DATEV-OPOS</x:v>
      </x:c>
    </x:row>
    <x:row r="45">
      <x:c r="A45" t="n">
        <x:v>10125</x:v>
      </x:c>
      <x:c r="B45" t="str">
        <x:v>Nadine Sauerländer</x:v>
      </x:c>
      <x:c r="C45" s="6" t="n">
        <x:f>SUMIFS('Mandantenzeilen'!$L$5:$L$175,'Mandantenzeilen'!$D$5:$D$175,A45,'Mandantenzeilen'!$B$5:$B$175,"Hauptliste")</x:f>
        <x:v>0</x:v>
      </x:c>
      <x:c r="D45" s="6" t="n">
        <x:f>SUMIFS('Mandantenzeilen'!$M$5:$M$175,'Mandantenzeilen'!$D$5:$D$175,A45,'Mandantenzeilen'!$B$5:$B$175,"Hauptliste")</x:f>
        <x:v>0</x:v>
      </x:c>
      <x:c r="E45" s="6" t="n">
        <x:f>SUMIFS('DATEV 31.12.24'!$I$5:$I$793,'DATEV 31.12.24'!$B$5:$B$793,A45)</x:f>
        <x:v>320.4</x:v>
      </x:c>
      <x:c r="F45" s="6" t="n">
        <x:f>D45-E45</x:f>
        <x:v>-320.4</x:v>
      </x:c>
      <x:c r="G45" s="6" t="n">
        <x:f>SUMIFS('Nachtrag'!$D$5:$D$28,'Nachtrag'!$F$5:$F$28,A45)</x:f>
        <x:v>0</x:v>
      </x:c>
      <x:c r="H45" t="str">
        <x:f>IF(A45=10069,"2023-Sammelbetrag einzeln klären",IF(COUNTIFS('Mandantenzeilen'!$D$5:$D$175,A45,'Mandantenzeilen'!$B$5:$B$175,"Hauptliste")=0,"Nur in DATEV-OPOS",IF(ABS(F45)&gt;0.01,"Abweichung zum 31.12.","Kontensaldo gleich")))</x:f>
        <x:v>Nur in DATEV-OPOS</x:v>
      </x:c>
    </x:row>
    <x:row r="46">
      <x:c r="A46" t="n">
        <x:v>10126</x:v>
      </x:c>
      <x:c r="B46" t="str">
        <x:v>Kornelia Neunteufl</x:v>
      </x:c>
      <x:c r="C46" s="6" t="n">
        <x:f>SUMIFS('Mandantenzeilen'!$L$5:$L$175,'Mandantenzeilen'!$D$5:$D$175,A46,'Mandantenzeilen'!$B$5:$B$175,"Hauptliste")</x:f>
        <x:v>0</x:v>
      </x:c>
      <x:c r="D46" s="6" t="n">
        <x:f>SUMIFS('Mandantenzeilen'!$M$5:$M$175,'Mandantenzeilen'!$D$5:$D$175,A46,'Mandantenzeilen'!$B$5:$B$175,"Hauptliste")</x:f>
        <x:v>0</x:v>
      </x:c>
      <x:c r="E46" s="6" t="n">
        <x:f>SUMIFS('DATEV 31.12.24'!$I$5:$I$793,'DATEV 31.12.24'!$B$5:$B$793,A46)</x:f>
        <x:v>292</x:v>
      </x:c>
      <x:c r="F46" s="6" t="n">
        <x:f>D46-E46</x:f>
        <x:v>-292</x:v>
      </x:c>
      <x:c r="G46" s="6" t="n">
        <x:f>SUMIFS('Nachtrag'!$D$5:$D$28,'Nachtrag'!$F$5:$F$28,A46)</x:f>
        <x:v>0</x:v>
      </x:c>
      <x:c r="H46" t="str">
        <x:f>IF(A46=10069,"2023-Sammelbetrag einzeln klären",IF(COUNTIFS('Mandantenzeilen'!$D$5:$D$175,A46,'Mandantenzeilen'!$B$5:$B$175,"Hauptliste")=0,"Nur in DATEV-OPOS",IF(ABS(F46)&gt;0.01,"Abweichung zum 31.12.","Kontensaldo gleich")))</x:f>
        <x:v>Nur in DATEV-OPOS</x:v>
      </x:c>
    </x:row>
    <x:row r="47">
      <x:c r="A47" t="n">
        <x:v>10134</x:v>
      </x:c>
      <x:c r="B47" t="str">
        <x:v>Umrechnung</x:v>
      </x:c>
      <x:c r="C47" s="6" t="n">
        <x:f>SUMIFS('Mandantenzeilen'!$L$5:$L$175,'Mandantenzeilen'!$D$5:$D$175,A47,'Mandantenzeilen'!$B$5:$B$175,"Hauptliste")</x:f>
        <x:v>0</x:v>
      </x:c>
      <x:c r="D47" s="6" t="n">
        <x:f>SUMIFS('Mandantenzeilen'!$M$5:$M$175,'Mandantenzeilen'!$D$5:$D$175,A47,'Mandantenzeilen'!$B$5:$B$175,"Hauptliste")</x:f>
        <x:v>0</x:v>
      </x:c>
      <x:c r="E47" s="6" t="n">
        <x:f>SUMIFS('DATEV 31.12.24'!$I$5:$I$793,'DATEV 31.12.24'!$B$5:$B$793,A47)</x:f>
        <x:v>70</x:v>
      </x:c>
      <x:c r="F47" s="6" t="n">
        <x:f>D47-E47</x:f>
        <x:v>-70</x:v>
      </x:c>
      <x:c r="G47" s="6" t="n">
        <x:f>SUMIFS('Nachtrag'!$D$5:$D$28,'Nachtrag'!$F$5:$F$28,A47)</x:f>
        <x:v>0</x:v>
      </x:c>
      <x:c r="H47" t="str">
        <x:f>IF(A47=10069,"2023-Sammelbetrag einzeln klären",IF(COUNTIFS('Mandantenzeilen'!$D$5:$D$175,A47,'Mandantenzeilen'!$B$5:$B$175,"Hauptliste")=0,"Nur in DATEV-OPOS",IF(ABS(F47)&gt;0.01,"Abweichung zum 31.12.","Kontensaldo gleich")))</x:f>
        <x:v>Nur in DATEV-OPOS</x:v>
      </x:c>
    </x:row>
    <x:row r="48">
      <x:c r="A48" t="n">
        <x:v>10135</x:v>
      </x:c>
      <x:c r="B48" t="str">
        <x:v>Niegel Frieda Christina</x:v>
      </x:c>
      <x:c r="C48" s="6" t="n">
        <x:f>SUMIFS('Mandantenzeilen'!$L$5:$L$175,'Mandantenzeilen'!$D$5:$D$175,A48,'Mandantenzeilen'!$B$5:$B$175,"Hauptliste")</x:f>
        <x:v>0</x:v>
      </x:c>
      <x:c r="D48" s="6" t="n">
        <x:f>SUMIFS('Mandantenzeilen'!$M$5:$M$175,'Mandantenzeilen'!$D$5:$D$175,A48,'Mandantenzeilen'!$B$5:$B$175,"Hauptliste")</x:f>
        <x:v>0</x:v>
      </x:c>
      <x:c r="E48" s="6" t="n">
        <x:f>SUMIFS('DATEV 31.12.24'!$I$5:$I$793,'DATEV 31.12.24'!$B$5:$B$793,A48)</x:f>
        <x:v>16400</x:v>
      </x:c>
      <x:c r="F48" s="6" t="n">
        <x:f>D48-E48</x:f>
        <x:v>-16400</x:v>
      </x:c>
      <x:c r="G48" s="6" t="n">
        <x:f>SUMIFS('Nachtrag'!$D$5:$D$28,'Nachtrag'!$F$5:$F$28,A48)</x:f>
        <x:v>0</x:v>
      </x:c>
      <x:c r="H48" t="str">
        <x:f>IF(A48=10069,"2023-Sammelbetrag einzeln klären",IF(COUNTIFS('Mandantenzeilen'!$D$5:$D$175,A48,'Mandantenzeilen'!$B$5:$B$175,"Hauptliste")=0,"Nur in DATEV-OPOS",IF(ABS(F48)&gt;0.01,"Abweichung zum 31.12.","Kontensaldo gleich")))</x:f>
        <x:v>Nur in DATEV-OPOS</x:v>
      </x:c>
    </x:row>
    <x:row r="49">
      <x:c r="A49" t="n">
        <x:v>10136</x:v>
      </x:c>
      <x:c r="B49" t="str">
        <x:v>Andrea Friedrich</x:v>
      </x:c>
      <x:c r="C49" s="6" t="n">
        <x:f>SUMIFS('Mandantenzeilen'!$L$5:$L$175,'Mandantenzeilen'!$D$5:$D$175,A49,'Mandantenzeilen'!$B$5:$B$175,"Hauptliste")</x:f>
        <x:v>720</x:v>
      </x:c>
      <x:c r="D49" s="6" t="n">
        <x:f>SUMIFS('Mandantenzeilen'!$M$5:$M$175,'Mandantenzeilen'!$D$5:$D$175,A49,'Mandantenzeilen'!$B$5:$B$175,"Hauptliste")</x:f>
        <x:v>720</x:v>
      </x:c>
      <x:c r="E49" s="6" t="n">
        <x:f>SUMIFS('DATEV 31.12.24'!$I$5:$I$793,'DATEV 31.12.24'!$B$5:$B$793,A49)</x:f>
        <x:v>720</x:v>
      </x:c>
      <x:c r="F49" s="6" t="n">
        <x:f>D49-E49</x:f>
        <x:v>0</x:v>
      </x:c>
      <x:c r="G49" s="6" t="n">
        <x:f>SUMIFS('Nachtrag'!$D$5:$D$28,'Nachtrag'!$F$5:$F$28,A49)</x:f>
        <x:v>0</x:v>
      </x:c>
      <x:c r="H49" t="str">
        <x:f>IF(A49=10069,"2023-Sammelbetrag einzeln klären",IF(COUNTIFS('Mandantenzeilen'!$D$5:$D$175,A49,'Mandantenzeilen'!$B$5:$B$175,"Hauptliste")=0,"Nur in DATEV-OPOS",IF(ABS(F49)&gt;0.01,"Abweichung zum 31.12.","Kontensaldo gleich")))</x:f>
        <x:v>Kontensaldo gleich</x:v>
      </x:c>
    </x:row>
    <x:row r="50">
      <x:c r="A50" t="n">
        <x:v>10137</x:v>
      </x:c>
      <x:c r="B50" t="str">
        <x:v>Schäfer Emmy</x:v>
      </x:c>
      <x:c r="C50" s="6" t="n">
        <x:f>SUMIFS('Mandantenzeilen'!$L$5:$L$175,'Mandantenzeilen'!$D$5:$D$175,A50,'Mandantenzeilen'!$B$5:$B$175,"Hauptliste")</x:f>
        <x:v>0</x:v>
      </x:c>
      <x:c r="D50" s="6" t="n">
        <x:f>SUMIFS('Mandantenzeilen'!$M$5:$M$175,'Mandantenzeilen'!$D$5:$D$175,A50,'Mandantenzeilen'!$B$5:$B$175,"Hauptliste")</x:f>
        <x:v>0</x:v>
      </x:c>
      <x:c r="E50" s="6" t="n">
        <x:f>SUMIFS('DATEV 31.12.24'!$I$5:$I$793,'DATEV 31.12.24'!$B$5:$B$793,A50)</x:f>
        <x:v>9900</x:v>
      </x:c>
      <x:c r="F50" s="6" t="n">
        <x:f>D50-E50</x:f>
        <x:v>-9900</x:v>
      </x:c>
      <x:c r="G50" s="6" t="n">
        <x:f>SUMIFS('Nachtrag'!$D$5:$D$28,'Nachtrag'!$F$5:$F$28,A50)</x:f>
        <x:v>0</x:v>
      </x:c>
      <x:c r="H50" t="str">
        <x:f>IF(A50=10069,"2023-Sammelbetrag einzeln klären",IF(COUNTIFS('Mandantenzeilen'!$D$5:$D$175,A50,'Mandantenzeilen'!$B$5:$B$175,"Hauptliste")=0,"Nur in DATEV-OPOS",IF(ABS(F50)&gt;0.01,"Abweichung zum 31.12.","Kontensaldo gleich")))</x:f>
        <x:v>Nur in DATEV-OPOS</x:v>
      </x:c>
    </x:row>
    <x:row r="51">
      <x:c r="A51" t="n">
        <x:v>10138</x:v>
      </x:c>
      <x:c r="B51" t="str">
        <x:v>Mariella Münchow</x:v>
      </x:c>
      <x:c r="C51" s="6" t="n">
        <x:f>SUMIFS('Mandantenzeilen'!$L$5:$L$175,'Mandantenzeilen'!$D$5:$D$175,A51,'Mandantenzeilen'!$B$5:$B$175,"Hauptliste")</x:f>
        <x:v>452</x:v>
      </x:c>
      <x:c r="D51" s="6" t="n">
        <x:f>SUMIFS('Mandantenzeilen'!$M$5:$M$175,'Mandantenzeilen'!$D$5:$D$175,A51,'Mandantenzeilen'!$B$5:$B$175,"Hauptliste")</x:f>
        <x:v>452</x:v>
      </x:c>
      <x:c r="E51" s="6" t="n">
        <x:f>SUMIFS('DATEV 31.12.24'!$I$5:$I$793,'DATEV 31.12.24'!$B$5:$B$793,A51)</x:f>
        <x:v>452</x:v>
      </x:c>
      <x:c r="F51" s="6" t="n">
        <x:f>D51-E51</x:f>
        <x:v>0</x:v>
      </x:c>
      <x:c r="G51" s="6" t="n">
        <x:f>SUMIFS('Nachtrag'!$D$5:$D$28,'Nachtrag'!$F$5:$F$28,A51)</x:f>
        <x:v>0</x:v>
      </x:c>
      <x:c r="H51" t="str">
        <x:f>IF(A51=10069,"2023-Sammelbetrag einzeln klären",IF(COUNTIFS('Mandantenzeilen'!$D$5:$D$175,A51,'Mandantenzeilen'!$B$5:$B$175,"Hauptliste")=0,"Nur in DATEV-OPOS",IF(ABS(F51)&gt;0.01,"Abweichung zum 31.12.","Kontensaldo gleich")))</x:f>
        <x:v>Kontensaldo gleich</x:v>
      </x:c>
    </x:row>
    <x:row r="52">
      <x:c r="A52" t="n">
        <x:v>10139</x:v>
      </x:c>
      <x:c r="B52" t="str">
        <x:v>Alexandre Berthault</x:v>
      </x:c>
      <x:c r="C52" s="6" t="n">
        <x:f>SUMIFS('Mandantenzeilen'!$L$5:$L$175,'Mandantenzeilen'!$D$5:$D$175,A52,'Mandantenzeilen'!$B$5:$B$175,"Hauptliste")</x:f>
        <x:v>150</x:v>
      </x:c>
      <x:c r="D52" s="6" t="n">
        <x:f>SUMIFS('Mandantenzeilen'!$M$5:$M$175,'Mandantenzeilen'!$D$5:$D$175,A52,'Mandantenzeilen'!$B$5:$B$175,"Hauptliste")</x:f>
        <x:v>150</x:v>
      </x:c>
      <x:c r="E52" s="6" t="n">
        <x:f>SUMIFS('DATEV 31.12.24'!$I$5:$I$793,'DATEV 31.12.24'!$B$5:$B$793,A52)</x:f>
        <x:v>150</x:v>
      </x:c>
      <x:c r="F52" s="6" t="n">
        <x:f>D52-E52</x:f>
        <x:v>0</x:v>
      </x:c>
      <x:c r="G52" s="6" t="n">
        <x:f>SUMIFS('Nachtrag'!$D$5:$D$28,'Nachtrag'!$F$5:$F$28,A52)</x:f>
        <x:v>0</x:v>
      </x:c>
      <x:c r="H52" t="str">
        <x:f>IF(A52=10069,"2023-Sammelbetrag einzeln klären",IF(COUNTIFS('Mandantenzeilen'!$D$5:$D$175,A52,'Mandantenzeilen'!$B$5:$B$175,"Hauptliste")=0,"Nur in DATEV-OPOS",IF(ABS(F52)&gt;0.01,"Abweichung zum 31.12.","Kontensaldo gleich")))</x:f>
        <x:v>Kontensaldo gleich</x:v>
      </x:c>
    </x:row>
    <x:row r="53">
      <x:c r="A53" t="n">
        <x:v>10141</x:v>
      </x:c>
      <x:c r="B53" t="str">
        <x:v>Chung Kin Wu 2024-258</x:v>
      </x:c>
      <x:c r="C53" s="6" t="n">
        <x:f>SUMIFS('Mandantenzeilen'!$L$5:$L$175,'Mandantenzeilen'!$D$5:$D$175,A53,'Mandantenzeilen'!$B$5:$B$175,"Hauptliste")</x:f>
        <x:v>0</x:v>
      </x:c>
      <x:c r="D53" s="6" t="n">
        <x:f>SUMIFS('Mandantenzeilen'!$M$5:$M$175,'Mandantenzeilen'!$D$5:$D$175,A53,'Mandantenzeilen'!$B$5:$B$175,"Hauptliste")</x:f>
        <x:v>0</x:v>
      </x:c>
      <x:c r="E53" s="6" t="n">
        <x:f>SUMIFS('DATEV 31.12.24'!$I$5:$I$793,'DATEV 31.12.24'!$B$5:$B$793,A53)</x:f>
        <x:v>-516.92</x:v>
      </x:c>
      <x:c r="F53" s="6" t="n">
        <x:f>D53-E53</x:f>
        <x:v>516.92</x:v>
      </x:c>
      <x:c r="G53" s="6" t="n">
        <x:f>SUMIFS('Nachtrag'!$D$5:$D$28,'Nachtrag'!$F$5:$F$28,A53)</x:f>
        <x:v>0</x:v>
      </x:c>
      <x:c r="H53" t="str">
        <x:f>IF(A53=10069,"2023-Sammelbetrag einzeln klären",IF(COUNTIFS('Mandantenzeilen'!$D$5:$D$175,A53,'Mandantenzeilen'!$B$5:$B$175,"Hauptliste")=0,"Nur in DATEV-OPOS",IF(ABS(F53)&gt;0.01,"Abweichung zum 31.12.","Kontensaldo gleich")))</x:f>
        <x:v>Nur in DATEV-OPOS</x:v>
      </x:c>
    </x:row>
    <x:row r="54">
      <x:c r="A54" t="n">
        <x:v>10142</x:v>
      </x:c>
      <x:c r="B54" t="str">
        <x:v>Akawung Moses</x:v>
      </x:c>
      <x:c r="C54" s="6" t="n">
        <x:f>SUMIFS('Mandantenzeilen'!$L$5:$L$175,'Mandantenzeilen'!$D$5:$D$175,A54,'Mandantenzeilen'!$B$5:$B$175,"Hauptliste")</x:f>
        <x:v>441</x:v>
      </x:c>
      <x:c r="D54" s="6" t="n">
        <x:f>SUMIFS('Mandantenzeilen'!$M$5:$M$175,'Mandantenzeilen'!$D$5:$D$175,A54,'Mandantenzeilen'!$B$5:$B$175,"Hauptliste")</x:f>
        <x:v>441</x:v>
      </x:c>
      <x:c r="E54" s="6" t="n">
        <x:f>SUMIFS('DATEV 31.12.24'!$I$5:$I$793,'DATEV 31.12.24'!$B$5:$B$793,A54)</x:f>
        <x:v>441</x:v>
      </x:c>
      <x:c r="F54" s="6" t="n">
        <x:f>D54-E54</x:f>
        <x:v>0</x:v>
      </x:c>
      <x:c r="G54" s="6" t="n">
        <x:f>SUMIFS('Nachtrag'!$D$5:$D$28,'Nachtrag'!$F$5:$F$28,A54)</x:f>
        <x:v>0</x:v>
      </x:c>
      <x:c r="H54" t="str">
        <x:f>IF(A54=10069,"2023-Sammelbetrag einzeln klären",IF(COUNTIFS('Mandantenzeilen'!$D$5:$D$175,A54,'Mandantenzeilen'!$B$5:$B$175,"Hauptliste")=0,"Nur in DATEV-OPOS",IF(ABS(F54)&gt;0.01,"Abweichung zum 31.12.","Kontensaldo gleich")))</x:f>
        <x:v>Kontensaldo gleich</x:v>
      </x:c>
    </x:row>
    <x:row r="55">
      <x:c r="A55" t="n">
        <x:v>10143</x:v>
      </x:c>
      <x:c r="B55" t="str">
        <x:v>Nicole Farrier</x:v>
      </x:c>
      <x:c r="C55" s="6" t="n">
        <x:f>SUMIFS('Mandantenzeilen'!$L$5:$L$175,'Mandantenzeilen'!$D$5:$D$175,A55,'Mandantenzeilen'!$B$5:$B$175,"Hauptliste")</x:f>
        <x:v>-477</x:v>
      </x:c>
      <x:c r="D55" s="6" t="n">
        <x:f>SUMIFS('Mandantenzeilen'!$M$5:$M$175,'Mandantenzeilen'!$D$5:$D$175,A55,'Mandantenzeilen'!$B$5:$B$175,"Hauptliste")</x:f>
        <x:v>-477</x:v>
      </x:c>
      <x:c r="E55" s="6" t="n">
        <x:f>SUMIFS('DATEV 31.12.24'!$I$5:$I$793,'DATEV 31.12.24'!$B$5:$B$793,A55)</x:f>
        <x:v>477</x:v>
      </x:c>
      <x:c r="F55" s="6" t="n">
        <x:f>D55-E55</x:f>
        <x:v>-954</x:v>
      </x:c>
      <x:c r="G55" s="6" t="n">
        <x:f>SUMIFS('Nachtrag'!$D$5:$D$28,'Nachtrag'!$F$5:$F$28,A55)</x:f>
        <x:v>0</x:v>
      </x:c>
      <x:c r="H55" t="str">
        <x:f>IF(A55=10069,"2023-Sammelbetrag einzeln klären",IF(COUNTIFS('Mandantenzeilen'!$D$5:$D$175,A55,'Mandantenzeilen'!$B$5:$B$175,"Hauptliste")=0,"Nur in DATEV-OPOS",IF(ABS(F55)&gt;0.01,"Abweichung zum 31.12.","Kontensaldo gleich")))</x:f>
        <x:v>Abweichung zum 31.12.</x:v>
      </x:c>
    </x:row>
    <x:row r="56">
      <x:c r="A56" t="n">
        <x:v>10144</x:v>
      </x:c>
      <x:c r="B56" t="str">
        <x:v>Haasis Silja 2024-262</x:v>
      </x:c>
      <x:c r="C56" s="6" t="n">
        <x:f>SUMIFS('Mandantenzeilen'!$L$5:$L$175,'Mandantenzeilen'!$D$5:$D$175,A56,'Mandantenzeilen'!$B$5:$B$175,"Hauptliste")</x:f>
        <x:v>0</x:v>
      </x:c>
      <x:c r="D56" s="6" t="n">
        <x:f>SUMIFS('Mandantenzeilen'!$M$5:$M$175,'Mandantenzeilen'!$D$5:$D$175,A56,'Mandantenzeilen'!$B$5:$B$175,"Hauptliste")</x:f>
        <x:v>0</x:v>
      </x:c>
      <x:c r="E56" s="6" t="n">
        <x:f>SUMIFS('DATEV 31.12.24'!$I$5:$I$793,'DATEV 31.12.24'!$B$5:$B$793,A56)</x:f>
        <x:v>-198</x:v>
      </x:c>
      <x:c r="F56" s="6" t="n">
        <x:f>D56-E56</x:f>
        <x:v>198</x:v>
      </x:c>
      <x:c r="G56" s="6" t="n">
        <x:f>SUMIFS('Nachtrag'!$D$5:$D$28,'Nachtrag'!$F$5:$F$28,A56)</x:f>
        <x:v>0</x:v>
      </x:c>
      <x:c r="H56" t="str">
        <x:f>IF(A56=10069,"2023-Sammelbetrag einzeln klären",IF(COUNTIFS('Mandantenzeilen'!$D$5:$D$175,A56,'Mandantenzeilen'!$B$5:$B$175,"Hauptliste")=0,"Nur in DATEV-OPOS",IF(ABS(F56)&gt;0.01,"Abweichung zum 31.12.","Kontensaldo gleich")))</x:f>
        <x:v>Nur in DATEV-OPOS</x:v>
      </x:c>
    </x:row>
    <x:row r="57">
      <x:c r="A57" t="n">
        <x:v>10146</x:v>
      </x:c>
      <x:c r="B57" t="str">
        <x:v>Tokarzk Alexandria</x:v>
      </x:c>
      <x:c r="C57" s="6" t="n">
        <x:f>SUMIFS('Mandantenzeilen'!$L$5:$L$175,'Mandantenzeilen'!$D$5:$D$175,A57,'Mandantenzeilen'!$B$5:$B$175,"Hauptliste")</x:f>
        <x:v>0</x:v>
      </x:c>
      <x:c r="D57" s="6" t="n">
        <x:f>SUMIFS('Mandantenzeilen'!$M$5:$M$175,'Mandantenzeilen'!$D$5:$D$175,A57,'Mandantenzeilen'!$B$5:$B$175,"Hauptliste")</x:f>
        <x:v>0</x:v>
      </x:c>
      <x:c r="E57" s="6" t="n">
        <x:f>SUMIFS('DATEV 31.12.24'!$I$5:$I$793,'DATEV 31.12.24'!$B$5:$B$793,A57)</x:f>
        <x:v>1594</x:v>
      </x:c>
      <x:c r="F57" s="6" t="n">
        <x:f>D57-E57</x:f>
        <x:v>-1594</x:v>
      </x:c>
      <x:c r="G57" s="6" t="n">
        <x:f>SUMIFS('Nachtrag'!$D$5:$D$28,'Nachtrag'!$F$5:$F$28,A57)</x:f>
        <x:v>0</x:v>
      </x:c>
      <x:c r="H57" t="str">
        <x:f>IF(A57=10069,"2023-Sammelbetrag einzeln klären",IF(COUNTIFS('Mandantenzeilen'!$D$5:$D$175,A57,'Mandantenzeilen'!$B$5:$B$175,"Hauptliste")=0,"Nur in DATEV-OPOS",IF(ABS(F57)&gt;0.01,"Abweichung zum 31.12.","Kontensaldo gleich")))</x:f>
        <x:v>Nur in DATEV-OPOS</x:v>
      </x:c>
    </x:row>
    <x:row r="58">
      <x:c r="A58" t="n">
        <x:v>10147</x:v>
      </x:c>
      <x:c r="B58" t="str">
        <x:v>Zaki Alina</x:v>
      </x:c>
      <x:c r="C58" s="6" t="n">
        <x:f>SUMIFS('Mandantenzeilen'!$L$5:$L$175,'Mandantenzeilen'!$D$5:$D$175,A58,'Mandantenzeilen'!$B$5:$B$175,"Hauptliste")</x:f>
        <x:v>0</x:v>
      </x:c>
      <x:c r="D58" s="6" t="n">
        <x:f>SUMIFS('Mandantenzeilen'!$M$5:$M$175,'Mandantenzeilen'!$D$5:$D$175,A58,'Mandantenzeilen'!$B$5:$B$175,"Hauptliste")</x:f>
        <x:v>0</x:v>
      </x:c>
      <x:c r="E58" s="6" t="n">
        <x:f>SUMIFS('DATEV 31.12.24'!$I$5:$I$793,'DATEV 31.12.24'!$B$5:$B$793,A58)</x:f>
        <x:v>1750</x:v>
      </x:c>
      <x:c r="F58" s="6" t="n">
        <x:f>D58-E58</x:f>
        <x:v>-1750</x:v>
      </x:c>
      <x:c r="G58" s="6" t="n">
        <x:f>SUMIFS('Nachtrag'!$D$5:$D$28,'Nachtrag'!$F$5:$F$28,A58)</x:f>
        <x:v>0</x:v>
      </x:c>
      <x:c r="H58" t="str">
        <x:f>IF(A58=10069,"2023-Sammelbetrag einzeln klären",IF(COUNTIFS('Mandantenzeilen'!$D$5:$D$175,A58,'Mandantenzeilen'!$B$5:$B$175,"Hauptliste")=0,"Nur in DATEV-OPOS",IF(ABS(F58)&gt;0.01,"Abweichung zum 31.12.","Kontensaldo gleich")))</x:f>
        <x:v>Nur in DATEV-OPOS</x:v>
      </x:c>
    </x:row>
    <x:row r="59">
      <x:c r="A59" t="n">
        <x:v>10151</x:v>
      </x:c>
      <x:c r="B59" t="str">
        <x:v>Drahtschmidt Frauke</x:v>
      </x:c>
      <x:c r="C59" s="6" t="n">
        <x:f>SUMIFS('Mandantenzeilen'!$L$5:$L$175,'Mandantenzeilen'!$D$5:$D$175,A59,'Mandantenzeilen'!$B$5:$B$175,"Hauptliste")</x:f>
        <x:v>0</x:v>
      </x:c>
      <x:c r="D59" s="6" t="n">
        <x:f>SUMIFS('Mandantenzeilen'!$M$5:$M$175,'Mandantenzeilen'!$D$5:$D$175,A59,'Mandantenzeilen'!$B$5:$B$175,"Hauptliste")</x:f>
        <x:v>0</x:v>
      </x:c>
      <x:c r="E59" s="6" t="n">
        <x:f>SUMIFS('DATEV 31.12.24'!$I$5:$I$793,'DATEV 31.12.24'!$B$5:$B$793,A59)</x:f>
        <x:v>414.4</x:v>
      </x:c>
      <x:c r="F59" s="6" t="n">
        <x:f>D59-E59</x:f>
        <x:v>-414.4</x:v>
      </x:c>
      <x:c r="G59" s="6" t="n">
        <x:f>SUMIFS('Nachtrag'!$D$5:$D$28,'Nachtrag'!$F$5:$F$28,A59)</x:f>
        <x:v>0</x:v>
      </x:c>
      <x:c r="H59" t="str">
        <x:f>IF(A59=10069,"2023-Sammelbetrag einzeln klären",IF(COUNTIFS('Mandantenzeilen'!$D$5:$D$175,A59,'Mandantenzeilen'!$B$5:$B$175,"Hauptliste")=0,"Nur in DATEV-OPOS",IF(ABS(F59)&gt;0.01,"Abweichung zum 31.12.","Kontensaldo gleich")))</x:f>
        <x:v>Nur in DATEV-OPOS</x:v>
      </x:c>
    </x:row>
    <x:row r="60">
      <x:c r="A60" t="n">
        <x:v>10154</x:v>
      </x:c>
      <x:c r="B60" t="str">
        <x:v>Aleskei Tkachenko</x:v>
      </x:c>
      <x:c r="C60" s="6" t="n">
        <x:f>SUMIFS('Mandantenzeilen'!$L$5:$L$175,'Mandantenzeilen'!$D$5:$D$175,A60,'Mandantenzeilen'!$B$5:$B$175,"Hauptliste")</x:f>
        <x:v>-454</x:v>
      </x:c>
      <x:c r="D60" s="6" t="n">
        <x:f>SUMIFS('Mandantenzeilen'!$M$5:$M$175,'Mandantenzeilen'!$D$5:$D$175,A60,'Mandantenzeilen'!$B$5:$B$175,"Hauptliste")</x:f>
        <x:v>90</x:v>
      </x:c>
      <x:c r="E60" s="6" t="n">
        <x:f>SUMIFS('DATEV 31.12.24'!$I$5:$I$793,'DATEV 31.12.24'!$B$5:$B$793,A60)</x:f>
        <x:v>770</x:v>
      </x:c>
      <x:c r="F60" s="6" t="n">
        <x:f>D60-E60</x:f>
        <x:v>-680</x:v>
      </x:c>
      <x:c r="G60" s="6" t="n">
        <x:f>SUMIFS('Nachtrag'!$D$5:$D$28,'Nachtrag'!$F$5:$F$28,A60)</x:f>
        <x:v>0</x:v>
      </x:c>
      <x:c r="H60" t="str">
        <x:f>IF(A60=10069,"2023-Sammelbetrag einzeln klären",IF(COUNTIFS('Mandantenzeilen'!$D$5:$D$175,A60,'Mandantenzeilen'!$B$5:$B$175,"Hauptliste")=0,"Nur in DATEV-OPOS",IF(ABS(F60)&gt;0.01,"Abweichung zum 31.12.","Kontensaldo gleich")))</x:f>
        <x:v>Abweichung zum 31.12.</x:v>
      </x:c>
    </x:row>
    <x:row r="61">
      <x:c r="A61" t="n">
        <x:v>10159</x:v>
      </x:c>
      <x:c r="B61" t="str">
        <x:v>Wothe / Reyes Emilio Leon</x:v>
      </x:c>
      <x:c r="C61" s="6" t="n">
        <x:f>SUMIFS('Mandantenzeilen'!$L$5:$L$175,'Mandantenzeilen'!$D$5:$D$175,A61,'Mandantenzeilen'!$B$5:$B$175,"Hauptliste")</x:f>
        <x:v>0</x:v>
      </x:c>
      <x:c r="D61" s="6" t="n">
        <x:f>SUMIFS('Mandantenzeilen'!$M$5:$M$175,'Mandantenzeilen'!$D$5:$D$175,A61,'Mandantenzeilen'!$B$5:$B$175,"Hauptliste")</x:f>
        <x:v>0</x:v>
      </x:c>
      <x:c r="E61" s="6" t="n">
        <x:f>SUMIFS('DATEV 31.12.24'!$I$5:$I$793,'DATEV 31.12.24'!$B$5:$B$793,A61)</x:f>
        <x:v>13800</x:v>
      </x:c>
      <x:c r="F61" s="6" t="n">
        <x:f>D61-E61</x:f>
        <x:v>-13800</x:v>
      </x:c>
      <x:c r="G61" s="6" t="n">
        <x:f>SUMIFS('Nachtrag'!$D$5:$D$28,'Nachtrag'!$F$5:$F$28,A61)</x:f>
        <x:v>0</x:v>
      </x:c>
      <x:c r="H61" t="str">
        <x:f>IF(A61=10069,"2023-Sammelbetrag einzeln klären",IF(COUNTIFS('Mandantenzeilen'!$D$5:$D$175,A61,'Mandantenzeilen'!$B$5:$B$175,"Hauptliste")=0,"Nur in DATEV-OPOS",IF(ABS(F61)&gt;0.01,"Abweichung zum 31.12.","Kontensaldo gleich")))</x:f>
        <x:v>Nur in DATEV-OPOS</x:v>
      </x:c>
    </x:row>
    <x:row r="62">
      <x:c r="A62" t="n">
        <x:v>10160</x:v>
      </x:c>
      <x:c r="B62" t="str">
        <x:v>Schindler Sophie</x:v>
      </x:c>
      <x:c r="C62" s="6" t="n">
        <x:f>SUMIFS('Mandantenzeilen'!$L$5:$L$175,'Mandantenzeilen'!$D$5:$D$175,A62,'Mandantenzeilen'!$B$5:$B$175,"Hauptliste")</x:f>
        <x:v>0</x:v>
      </x:c>
      <x:c r="D62" s="6" t="n">
        <x:f>SUMIFS('Mandantenzeilen'!$M$5:$M$175,'Mandantenzeilen'!$D$5:$D$175,A62,'Mandantenzeilen'!$B$5:$B$175,"Hauptliste")</x:f>
        <x:v>0</x:v>
      </x:c>
      <x:c r="E62" s="6" t="n">
        <x:f>SUMIFS('DATEV 31.12.24'!$I$5:$I$793,'DATEV 31.12.24'!$B$5:$B$793,A62)</x:f>
        <x:v>2539</x:v>
      </x:c>
      <x:c r="F62" s="6" t="n">
        <x:f>D62-E62</x:f>
        <x:v>-2539</x:v>
      </x:c>
      <x:c r="G62" s="6" t="n">
        <x:f>SUMIFS('Nachtrag'!$D$5:$D$28,'Nachtrag'!$F$5:$F$28,A62)</x:f>
        <x:v>2031.2</x:v>
      </x:c>
      <x:c r="H62" t="str">
        <x:f>IF(A62=10069,"2023-Sammelbetrag einzeln klären",IF(COUNTIFS('Mandantenzeilen'!$D$5:$D$175,A62,'Mandantenzeilen'!$B$5:$B$175,"Hauptliste")=0,"Nur in DATEV-OPOS",IF(ABS(F62)&gt;0.01,"Abweichung zum 31.12.","Kontensaldo gleich")))</x:f>
        <x:v>Nur in DATEV-OPOS</x:v>
      </x:c>
    </x:row>
    <x:row r="63">
      <x:c r="A63" t="n">
        <x:v>10161</x:v>
      </x:c>
      <x:c r="B63" t="str">
        <x:v>Brittanne Macey</x:v>
      </x:c>
      <x:c r="C63" s="6" t="n">
        <x:f>SUMIFS('Mandantenzeilen'!$L$5:$L$175,'Mandantenzeilen'!$D$5:$D$175,A63,'Mandantenzeilen'!$B$5:$B$175,"Hauptliste")</x:f>
        <x:v>432</x:v>
      </x:c>
      <x:c r="D63" s="6" t="n">
        <x:f>SUMIFS('Mandantenzeilen'!$M$5:$M$175,'Mandantenzeilen'!$D$5:$D$175,A63,'Mandantenzeilen'!$B$5:$B$175,"Hauptliste")</x:f>
        <x:v>432</x:v>
      </x:c>
      <x:c r="E63" s="6" t="n">
        <x:f>SUMIFS('DATEV 31.12.24'!$I$5:$I$793,'DATEV 31.12.24'!$B$5:$B$793,A63)</x:f>
        <x:v>86.39999999999998</x:v>
      </x:c>
      <x:c r="F63" s="6" t="n">
        <x:f>D63-E63</x:f>
        <x:v>345.6</x:v>
      </x:c>
      <x:c r="G63" s="6" t="n">
        <x:f>SUMIFS('Nachtrag'!$D$5:$D$28,'Nachtrag'!$F$5:$F$28,A63)</x:f>
        <x:v>0</x:v>
      </x:c>
      <x:c r="H63" t="str">
        <x:f>IF(A63=10069,"2023-Sammelbetrag einzeln klären",IF(COUNTIFS('Mandantenzeilen'!$D$5:$D$175,A63,'Mandantenzeilen'!$B$5:$B$175,"Hauptliste")=0,"Nur in DATEV-OPOS",IF(ABS(F63)&gt;0.01,"Abweichung zum 31.12.","Kontensaldo gleich")))</x:f>
        <x:v>Abweichung zum 31.12.</x:v>
      </x:c>
    </x:row>
    <x:row r="64">
      <x:c r="A64" t="n">
        <x:v>10162</x:v>
      </x:c>
      <x:c r="B64" t="str">
        <x:v>Ford Simon 2024_283</x:v>
      </x:c>
      <x:c r="C64" s="6" t="n">
        <x:f>SUMIFS('Mandantenzeilen'!$L$5:$L$175,'Mandantenzeilen'!$D$5:$D$175,A64,'Mandantenzeilen'!$B$5:$B$175,"Hauptliste")</x:f>
        <x:v>0</x:v>
      </x:c>
      <x:c r="D64" s="6" t="n">
        <x:f>SUMIFS('Mandantenzeilen'!$M$5:$M$175,'Mandantenzeilen'!$D$5:$D$175,A64,'Mandantenzeilen'!$B$5:$B$175,"Hauptliste")</x:f>
        <x:v>0</x:v>
      </x:c>
      <x:c r="E64" s="6" t="n">
        <x:f>SUMIFS('DATEV 31.12.24'!$I$5:$I$793,'DATEV 31.12.24'!$B$5:$B$793,A64)</x:f>
        <x:v>-532</x:v>
      </x:c>
      <x:c r="F64" s="6" t="n">
        <x:f>D64-E64</x:f>
        <x:v>532</x:v>
      </x:c>
      <x:c r="G64" s="6" t="n">
        <x:f>SUMIFS('Nachtrag'!$D$5:$D$28,'Nachtrag'!$F$5:$F$28,A64)</x:f>
        <x:v>0</x:v>
      </x:c>
      <x:c r="H64" t="str">
        <x:f>IF(A64=10069,"2023-Sammelbetrag einzeln klären",IF(COUNTIFS('Mandantenzeilen'!$D$5:$D$175,A64,'Mandantenzeilen'!$B$5:$B$175,"Hauptliste")=0,"Nur in DATEV-OPOS",IF(ABS(F64)&gt;0.01,"Abweichung zum 31.12.","Kontensaldo gleich")))</x:f>
        <x:v>Nur in DATEV-OPOS</x:v>
      </x:c>
    </x:row>
    <x:row r="65">
      <x:c r="A65" t="n">
        <x:v>10163</x:v>
      </x:c>
      <x:c r="B65" t="str">
        <x:v>Heloise Parent</x:v>
      </x:c>
      <x:c r="C65" s="6" t="n">
        <x:f>SUMIFS('Mandantenzeilen'!$L$5:$L$175,'Mandantenzeilen'!$D$5:$D$175,A65,'Mandantenzeilen'!$B$5:$B$175,"Hauptliste")</x:f>
        <x:v>343.2</x:v>
      </x:c>
      <x:c r="D65" s="6" t="n">
        <x:f>SUMIFS('Mandantenzeilen'!$M$5:$M$175,'Mandantenzeilen'!$D$5:$D$175,A65,'Mandantenzeilen'!$B$5:$B$175,"Hauptliste")</x:f>
        <x:v>343.2</x:v>
      </x:c>
      <x:c r="E65" s="6" t="n">
        <x:f>SUMIFS('DATEV 31.12.24'!$I$5:$I$793,'DATEV 31.12.24'!$B$5:$B$793,A65)</x:f>
        <x:v>343.2</x:v>
      </x:c>
      <x:c r="F65" s="6" t="n">
        <x:f>D65-E65</x:f>
        <x:v>0</x:v>
      </x:c>
      <x:c r="G65" s="6" t="n">
        <x:f>SUMIFS('Nachtrag'!$D$5:$D$28,'Nachtrag'!$F$5:$F$28,A65)</x:f>
        <x:v>0</x:v>
      </x:c>
      <x:c r="H65" t="str">
        <x:f>IF(A65=10069,"2023-Sammelbetrag einzeln klären",IF(COUNTIFS('Mandantenzeilen'!$D$5:$D$175,A65,'Mandantenzeilen'!$B$5:$B$175,"Hauptliste")=0,"Nur in DATEV-OPOS",IF(ABS(F65)&gt;0.01,"Abweichung zum 31.12.","Kontensaldo gleich")))</x:f>
        <x:v>Kontensaldo gleich</x:v>
      </x:c>
    </x:row>
    <x:row r="66">
      <x:c r="A66" t="n">
        <x:v>10166</x:v>
      </x:c>
      <x:c r="B66" t="str">
        <x:v>Sofie Korczak</x:v>
      </x:c>
      <x:c r="C66" s="6" t="n">
        <x:f>SUMIFS('Mandantenzeilen'!$L$5:$L$175,'Mandantenzeilen'!$D$5:$D$175,A66,'Mandantenzeilen'!$B$5:$B$175,"Hauptliste")</x:f>
        <x:v>0</x:v>
      </x:c>
      <x:c r="D66" s="6" t="n">
        <x:f>SUMIFS('Mandantenzeilen'!$M$5:$M$175,'Mandantenzeilen'!$D$5:$D$175,A66,'Mandantenzeilen'!$B$5:$B$175,"Hauptliste")</x:f>
        <x:v>1726</x:v>
      </x:c>
      <x:c r="E66" s="6" t="n">
        <x:f>SUMIFS('DATEV 31.12.24'!$I$5:$I$793,'DATEV 31.12.24'!$B$5:$B$793,A66)</x:f>
        <x:v>1726</x:v>
      </x:c>
      <x:c r="F66" s="6" t="n">
        <x:f>D66-E66</x:f>
        <x:v>0</x:v>
      </x:c>
      <x:c r="G66" s="6" t="n">
        <x:f>SUMIFS('Nachtrag'!$D$5:$D$28,'Nachtrag'!$F$5:$F$28,A66)</x:f>
        <x:v>0</x:v>
      </x:c>
      <x:c r="H66" t="str">
        <x:f>IF(A66=10069,"2023-Sammelbetrag einzeln klären",IF(COUNTIFS('Mandantenzeilen'!$D$5:$D$175,A66,'Mandantenzeilen'!$B$5:$B$175,"Hauptliste")=0,"Nur in DATEV-OPOS",IF(ABS(F66)&gt;0.01,"Abweichung zum 31.12.","Kontensaldo gleich")))</x:f>
        <x:v>Kontensaldo gleich</x:v>
      </x:c>
    </x:row>
    <x:row r="67">
      <x:c r="A67" t="n">
        <x:v>10168</x:v>
      </x:c>
      <x:c r="B67" t="str">
        <x:v>Feuster/Martinez Melina</x:v>
      </x:c>
      <x:c r="C67" s="6" t="n">
        <x:f>SUMIFS('Mandantenzeilen'!$L$5:$L$175,'Mandantenzeilen'!$D$5:$D$175,A67,'Mandantenzeilen'!$B$5:$B$175,"Hauptliste")</x:f>
        <x:v>0</x:v>
      </x:c>
      <x:c r="D67" s="6" t="n">
        <x:f>SUMIFS('Mandantenzeilen'!$M$5:$M$175,'Mandantenzeilen'!$D$5:$D$175,A67,'Mandantenzeilen'!$B$5:$B$175,"Hauptliste")</x:f>
        <x:v>0</x:v>
      </x:c>
      <x:c r="E67" s="6" t="n">
        <x:f>SUMIFS('DATEV 31.12.24'!$I$5:$I$793,'DATEV 31.12.24'!$B$5:$B$793,A67)</x:f>
        <x:v>9490</x:v>
      </x:c>
      <x:c r="F67" s="6" t="n">
        <x:f>D67-E67</x:f>
        <x:v>-9490</x:v>
      </x:c>
      <x:c r="G67" s="6" t="n">
        <x:f>SUMIFS('Nachtrag'!$D$5:$D$28,'Nachtrag'!$F$5:$F$28,A67)</x:f>
        <x:v>0</x:v>
      </x:c>
      <x:c r="H67" t="str">
        <x:f>IF(A67=10069,"2023-Sammelbetrag einzeln klären",IF(COUNTIFS('Mandantenzeilen'!$D$5:$D$175,A67,'Mandantenzeilen'!$B$5:$B$175,"Hauptliste")=0,"Nur in DATEV-OPOS",IF(ABS(F67)&gt;0.01,"Abweichung zum 31.12.","Kontensaldo gleich")))</x:f>
        <x:v>Nur in DATEV-OPOS</x:v>
      </x:c>
    </x:row>
    <x:row r="68">
      <x:c r="A68" t="n">
        <x:v>10169</x:v>
      </x:c>
      <x:c r="B68" t="str">
        <x:v>Malena Dury</x:v>
      </x:c>
      <x:c r="C68" s="6" t="n">
        <x:f>SUMIFS('Mandantenzeilen'!$L$5:$L$175,'Mandantenzeilen'!$D$5:$D$175,A68,'Mandantenzeilen'!$B$5:$B$175,"Hauptliste")</x:f>
        <x:v>0</x:v>
      </x:c>
      <x:c r="D68" s="6" t="n">
        <x:f>SUMIFS('Mandantenzeilen'!$M$5:$M$175,'Mandantenzeilen'!$D$5:$D$175,A68,'Mandantenzeilen'!$B$5:$B$175,"Hauptliste")</x:f>
        <x:v>0</x:v>
      </x:c>
      <x:c r="E68" s="6" t="n">
        <x:f>SUMIFS('DATEV 31.12.24'!$I$5:$I$793,'DATEV 31.12.24'!$B$5:$B$793,A68)</x:f>
        <x:v>-70.31999999999994</x:v>
      </x:c>
      <x:c r="F68" s="6" t="n">
        <x:f>D68-E68</x:f>
        <x:v>70.31999999999994</x:v>
      </x:c>
      <x:c r="G68" s="6" t="n">
        <x:f>SUMIFS('Nachtrag'!$D$5:$D$28,'Nachtrag'!$F$5:$F$28,A68)</x:f>
        <x:v>0</x:v>
      </x:c>
      <x:c r="H68" t="str">
        <x:f>IF(A68=10069,"2023-Sammelbetrag einzeln klären",IF(COUNTIFS('Mandantenzeilen'!$D$5:$D$175,A68,'Mandantenzeilen'!$B$5:$B$175,"Hauptliste")=0,"Nur in DATEV-OPOS",IF(ABS(F68)&gt;0.01,"Abweichung zum 31.12.","Kontensaldo gleich")))</x:f>
        <x:v>Nur in DATEV-OPOS</x:v>
      </x:c>
    </x:row>
    <x:row r="69">
      <x:c r="A69" t="n">
        <x:v>10170</x:v>
      </x:c>
      <x:c r="B69" t="str">
        <x:v>Van Bever Emma</x:v>
      </x:c>
      <x:c r="C69" s="6" t="n">
        <x:f>SUMIFS('Mandantenzeilen'!$L$5:$L$175,'Mandantenzeilen'!$D$5:$D$175,A69,'Mandantenzeilen'!$B$5:$B$175,"Hauptliste")</x:f>
        <x:v>0</x:v>
      </x:c>
      <x:c r="D69" s="6" t="n">
        <x:f>SUMIFS('Mandantenzeilen'!$M$5:$M$175,'Mandantenzeilen'!$D$5:$D$175,A69,'Mandantenzeilen'!$B$5:$B$175,"Hauptliste")</x:f>
        <x:v>0</x:v>
      </x:c>
      <x:c r="E69" s="6" t="n">
        <x:f>SUMIFS('DATEV 31.12.24'!$I$5:$I$793,'DATEV 31.12.24'!$B$5:$B$793,A69)</x:f>
        <x:v>949</x:v>
      </x:c>
      <x:c r="F69" s="6" t="n">
        <x:f>D69-E69</x:f>
        <x:v>-949</x:v>
      </x:c>
      <x:c r="G69" s="6" t="n">
        <x:f>SUMIFS('Nachtrag'!$D$5:$D$28,'Nachtrag'!$F$5:$F$28,A69)</x:f>
        <x:v>255</x:v>
      </x:c>
      <x:c r="H69" t="str">
        <x:f>IF(A69=10069,"2023-Sammelbetrag einzeln klären",IF(COUNTIFS('Mandantenzeilen'!$D$5:$D$175,A69,'Mandantenzeilen'!$B$5:$B$175,"Hauptliste")=0,"Nur in DATEV-OPOS",IF(ABS(F69)&gt;0.01,"Abweichung zum 31.12.","Kontensaldo gleich")))</x:f>
        <x:v>Nur in DATEV-OPOS</x:v>
      </x:c>
    </x:row>
    <x:row r="70">
      <x:c r="A70" t="n">
        <x:v>10171</x:v>
      </x:c>
      <x:c r="B70" t="str">
        <x:v>Sandra Oberle</x:v>
      </x:c>
      <x:c r="C70" s="6" t="n">
        <x:f>SUMIFS('Mandantenzeilen'!$L$5:$L$175,'Mandantenzeilen'!$D$5:$D$175,A70,'Mandantenzeilen'!$B$5:$B$175,"Hauptliste")</x:f>
        <x:v>205.86</x:v>
      </x:c>
      <x:c r="D70" s="6" t="n">
        <x:f>SUMIFS('Mandantenzeilen'!$M$5:$M$175,'Mandantenzeilen'!$D$5:$D$175,A70,'Mandantenzeilen'!$B$5:$B$175,"Hauptliste")</x:f>
        <x:v>205.86</x:v>
      </x:c>
      <x:c r="E70" s="6" t="n">
        <x:f>SUMIFS('DATEV 31.12.24'!$I$5:$I$793,'DATEV 31.12.24'!$B$5:$B$793,A70)</x:f>
        <x:v>205.86</x:v>
      </x:c>
      <x:c r="F70" s="6" t="n">
        <x:f>D70-E70</x:f>
        <x:v>0</x:v>
      </x:c>
      <x:c r="G70" s="6" t="n">
        <x:f>SUMIFS('Nachtrag'!$D$5:$D$28,'Nachtrag'!$F$5:$F$28,A70)</x:f>
        <x:v>0</x:v>
      </x:c>
      <x:c r="H70" t="str">
        <x:f>IF(A70=10069,"2023-Sammelbetrag einzeln klären",IF(COUNTIFS('Mandantenzeilen'!$D$5:$D$175,A70,'Mandantenzeilen'!$B$5:$B$175,"Hauptliste")=0,"Nur in DATEV-OPOS",IF(ABS(F70)&gt;0.01,"Abweichung zum 31.12.","Kontensaldo gleich")))</x:f>
        <x:v>Kontensaldo gleich</x:v>
      </x:c>
    </x:row>
    <x:row r="71">
      <x:c r="A71" t="n">
        <x:v>10173</x:v>
      </x:c>
      <x:c r="B71" t="str">
        <x:v>Chiara Asisha Klein</x:v>
      </x:c>
      <x:c r="C71" s="6" t="n">
        <x:f>SUMIFS('Mandantenzeilen'!$L$5:$L$175,'Mandantenzeilen'!$D$5:$D$175,A71,'Mandantenzeilen'!$B$5:$B$175,"Hauptliste")</x:f>
        <x:v>-421.6</x:v>
      </x:c>
      <x:c r="D71" s="6" t="n">
        <x:f>SUMIFS('Mandantenzeilen'!$M$5:$M$175,'Mandantenzeilen'!$D$5:$D$175,A71,'Mandantenzeilen'!$B$5:$B$175,"Hauptliste")</x:f>
        <x:v>790</x:v>
      </x:c>
      <x:c r="E71" s="6" t="n">
        <x:f>SUMIFS('DATEV 31.12.24'!$I$5:$I$793,'DATEV 31.12.24'!$B$5:$B$793,A71)</x:f>
        <x:v>1647</x:v>
      </x:c>
      <x:c r="F71" s="6" t="n">
        <x:f>D71-E71</x:f>
        <x:v>-857</x:v>
      </x:c>
      <x:c r="G71" s="6" t="n">
        <x:f>SUMIFS('Nachtrag'!$D$5:$D$28,'Nachtrag'!$F$5:$F$28,A71)</x:f>
        <x:v>0</x:v>
      </x:c>
      <x:c r="H71" t="str">
        <x:f>IF(A71=10069,"2023-Sammelbetrag einzeln klären",IF(COUNTIFS('Mandantenzeilen'!$D$5:$D$175,A71,'Mandantenzeilen'!$B$5:$B$175,"Hauptliste")=0,"Nur in DATEV-OPOS",IF(ABS(F71)&gt;0.01,"Abweichung zum 31.12.","Kontensaldo gleich")))</x:f>
        <x:v>Abweichung zum 31.12.</x:v>
      </x:c>
    </x:row>
    <x:row r="72">
      <x:c r="A72" t="n">
        <x:v>10174</x:v>
      </x:c>
      <x:c r="B72" t="str">
        <x:v>Estelle Gilleron</x:v>
      </x:c>
      <x:c r="C72" s="6" t="n">
        <x:f>SUMIFS('Mandantenzeilen'!$L$5:$L$175,'Mandantenzeilen'!$D$5:$D$175,A72,'Mandantenzeilen'!$B$5:$B$175,"Hauptliste")</x:f>
        <x:v>550</x:v>
      </x:c>
      <x:c r="D72" s="6" t="n">
        <x:f>SUMIFS('Mandantenzeilen'!$M$5:$M$175,'Mandantenzeilen'!$D$5:$D$175,A72,'Mandantenzeilen'!$B$5:$B$175,"Hauptliste")</x:f>
        <x:v>550</x:v>
      </x:c>
      <x:c r="E72" s="6" t="n">
        <x:f>SUMIFS('DATEV 31.12.24'!$I$5:$I$793,'DATEV 31.12.24'!$B$5:$B$793,A72)</x:f>
        <x:v>1314</x:v>
      </x:c>
      <x:c r="F72" s="6" t="n">
        <x:f>D72-E72</x:f>
        <x:v>-764</x:v>
      </x:c>
      <x:c r="G72" s="6" t="n">
        <x:f>SUMIFS('Nachtrag'!$D$5:$D$28,'Nachtrag'!$F$5:$F$28,A72)</x:f>
        <x:v>0</x:v>
      </x:c>
      <x:c r="H72" t="str">
        <x:f>IF(A72=10069,"2023-Sammelbetrag einzeln klären",IF(COUNTIFS('Mandantenzeilen'!$D$5:$D$175,A72,'Mandantenzeilen'!$B$5:$B$175,"Hauptliste")=0,"Nur in DATEV-OPOS",IF(ABS(F72)&gt;0.01,"Abweichung zum 31.12.","Kontensaldo gleich")))</x:f>
        <x:v>Abweichung zum 31.12.</x:v>
      </x:c>
    </x:row>
    <x:row r="73">
      <x:c r="A73" t="n">
        <x:v>10177</x:v>
      </x:c>
      <x:c r="B73" t="str">
        <x:v>Ela Centimese</x:v>
      </x:c>
      <x:c r="C73" s="6" t="n">
        <x:f>SUMIFS('Mandantenzeilen'!$L$5:$L$175,'Mandantenzeilen'!$D$5:$D$175,A73,'Mandantenzeilen'!$B$5:$B$175,"Hauptliste")</x:f>
        <x:v>-2055.2</x:v>
      </x:c>
      <x:c r="D73" s="6" t="n">
        <x:f>SUMIFS('Mandantenzeilen'!$M$5:$M$175,'Mandantenzeilen'!$D$5:$D$175,A73,'Mandantenzeilen'!$B$5:$B$175,"Hauptliste")</x:f>
        <x:v>-2055.2</x:v>
      </x:c>
      <x:c r="E73" s="6" t="n">
        <x:f>SUMIFS('DATEV 31.12.24'!$I$5:$I$793,'DATEV 31.12.24'!$B$5:$B$793,A73)</x:f>
        <x:v>513.8000000000002</x:v>
      </x:c>
      <x:c r="F73" s="6" t="n">
        <x:f>D73-E73</x:f>
        <x:v>-2569</x:v>
      </x:c>
      <x:c r="G73" s="6" t="n">
        <x:f>SUMIFS('Nachtrag'!$D$5:$D$28,'Nachtrag'!$F$5:$F$28,A73)</x:f>
        <x:v>0</x:v>
      </x:c>
      <x:c r="H73" t="str">
        <x:f>IF(A73=10069,"2023-Sammelbetrag einzeln klären",IF(COUNTIFS('Mandantenzeilen'!$D$5:$D$175,A73,'Mandantenzeilen'!$B$5:$B$175,"Hauptliste")=0,"Nur in DATEV-OPOS",IF(ABS(F73)&gt;0.01,"Abweichung zum 31.12.","Kontensaldo gleich")))</x:f>
        <x:v>Abweichung zum 31.12.</x:v>
      </x:c>
    </x:row>
    <x:row r="74">
      <x:c r="A74" t="n">
        <x:v>10178</x:v>
      </x:c>
      <x:c r="B74" t="str">
        <x:v>Julian Botschafter</x:v>
      </x:c>
      <x:c r="C74" s="6" t="n">
        <x:f>SUMIFS('Mandantenzeilen'!$L$5:$L$175,'Mandantenzeilen'!$D$5:$D$175,A74,'Mandantenzeilen'!$B$5:$B$175,"Hauptliste")</x:f>
        <x:v>0</x:v>
      </x:c>
      <x:c r="D74" s="6" t="n">
        <x:f>SUMIFS('Mandantenzeilen'!$M$5:$M$175,'Mandantenzeilen'!$D$5:$D$175,A74,'Mandantenzeilen'!$B$5:$B$175,"Hauptliste")</x:f>
        <x:v>1480</x:v>
      </x:c>
      <x:c r="E74" s="6" t="n">
        <x:f>SUMIFS('DATEV 31.12.24'!$I$5:$I$793,'DATEV 31.12.24'!$B$5:$B$793,A74)</x:f>
        <x:v>1480</x:v>
      </x:c>
      <x:c r="F74" s="6" t="n">
        <x:f>D74-E74</x:f>
        <x:v>0</x:v>
      </x:c>
      <x:c r="G74" s="6" t="n">
        <x:f>SUMIFS('Nachtrag'!$D$5:$D$28,'Nachtrag'!$F$5:$F$28,A74)</x:f>
        <x:v>0</x:v>
      </x:c>
      <x:c r="H74" t="str">
        <x:f>IF(A74=10069,"2023-Sammelbetrag einzeln klären",IF(COUNTIFS('Mandantenzeilen'!$D$5:$D$175,A74,'Mandantenzeilen'!$B$5:$B$175,"Hauptliste")=0,"Nur in DATEV-OPOS",IF(ABS(F74)&gt;0.01,"Abweichung zum 31.12.","Kontensaldo gleich")))</x:f>
        <x:v>Kontensaldo gleich</x:v>
      </x:c>
    </x:row>
    <x:row r="75">
      <x:c r="A75" t="n">
        <x:v>10179</x:v>
      </x:c>
      <x:c r="B75" t="str">
        <x:v>Annika Weiß</x:v>
      </x:c>
      <x:c r="C75" s="6" t="n">
        <x:f>SUMIFS('Mandantenzeilen'!$L$5:$L$175,'Mandantenzeilen'!$D$5:$D$175,A75,'Mandantenzeilen'!$B$5:$B$175,"Hauptliste")</x:f>
        <x:v>0</x:v>
      </x:c>
      <x:c r="D75" s="6" t="n">
        <x:f>SUMIFS('Mandantenzeilen'!$M$5:$M$175,'Mandantenzeilen'!$D$5:$D$175,A75,'Mandantenzeilen'!$B$5:$B$175,"Hauptliste")</x:f>
        <x:v>0</x:v>
      </x:c>
      <x:c r="E75" s="6" t="n">
        <x:f>SUMIFS('DATEV 31.12.24'!$I$5:$I$793,'DATEV 31.12.24'!$B$5:$B$793,A75)</x:f>
        <x:v>3290</x:v>
      </x:c>
      <x:c r="F75" s="6" t="n">
        <x:f>D75-E75</x:f>
        <x:v>-3290</x:v>
      </x:c>
      <x:c r="G75" s="6" t="n">
        <x:f>SUMIFS('Nachtrag'!$D$5:$D$28,'Nachtrag'!$F$5:$F$28,A75)</x:f>
        <x:v>0</x:v>
      </x:c>
      <x:c r="H75" t="str">
        <x:f>IF(A75=10069,"2023-Sammelbetrag einzeln klären",IF(COUNTIFS('Mandantenzeilen'!$D$5:$D$175,A75,'Mandantenzeilen'!$B$5:$B$175,"Hauptliste")=0,"Nur in DATEV-OPOS",IF(ABS(F75)&gt;0.01,"Abweichung zum 31.12.","Kontensaldo gleich")))</x:f>
        <x:v>Nur in DATEV-OPOS</x:v>
      </x:c>
    </x:row>
    <x:row r="76">
      <x:c r="A76" t="n">
        <x:v>10183</x:v>
      </x:c>
      <x:c r="B76" t="str">
        <x:v>Sonja Leiner</x:v>
      </x:c>
      <x:c r="C76" s="6" t="n">
        <x:f>SUMIFS('Mandantenzeilen'!$L$5:$L$175,'Mandantenzeilen'!$D$5:$D$175,A76,'Mandantenzeilen'!$B$5:$B$175,"Hauptliste")</x:f>
        <x:v>0</x:v>
      </x:c>
      <x:c r="D76" s="6" t="n">
        <x:f>SUMIFS('Mandantenzeilen'!$M$5:$M$175,'Mandantenzeilen'!$D$5:$D$175,A76,'Mandantenzeilen'!$B$5:$B$175,"Hauptliste")</x:f>
        <x:v>0</x:v>
      </x:c>
      <x:c r="E76" s="6" t="n">
        <x:f>SUMIFS('DATEV 31.12.24'!$I$5:$I$793,'DATEV 31.12.24'!$B$5:$B$793,A76)</x:f>
        <x:v>1220</x:v>
      </x:c>
      <x:c r="F76" s="6" t="n">
        <x:f>D76-E76</x:f>
        <x:v>-1220</x:v>
      </x:c>
      <x:c r="G76" s="6" t="n">
        <x:f>SUMIFS('Nachtrag'!$D$5:$D$28,'Nachtrag'!$F$5:$F$28,A76)</x:f>
        <x:v>976</x:v>
      </x:c>
      <x:c r="H76" t="str">
        <x:f>IF(A76=10069,"2023-Sammelbetrag einzeln klären",IF(COUNTIFS('Mandantenzeilen'!$D$5:$D$175,A76,'Mandantenzeilen'!$B$5:$B$175,"Hauptliste")=0,"Nur in DATEV-OPOS",IF(ABS(F76)&gt;0.01,"Abweichung zum 31.12.","Kontensaldo gleich")))</x:f>
        <x:v>Nur in DATEV-OPOS</x:v>
      </x:c>
    </x:row>
    <x:row r="77">
      <x:c r="A77" t="n">
        <x:v>10184</x:v>
      </x:c>
      <x:c r="B77" t="str">
        <x:v>Mila Janokowiak-Schneppenheim</x:v>
      </x:c>
      <x:c r="C77" s="6" t="n">
        <x:f>SUMIFS('Mandantenzeilen'!$L$5:$L$175,'Mandantenzeilen'!$D$5:$D$175,A77,'Mandantenzeilen'!$B$5:$B$175,"Hauptliste")</x:f>
        <x:v>0</x:v>
      </x:c>
      <x:c r="D77" s="6" t="n">
        <x:f>SUMIFS('Mandantenzeilen'!$M$5:$M$175,'Mandantenzeilen'!$D$5:$D$175,A77,'Mandantenzeilen'!$B$5:$B$175,"Hauptliste")</x:f>
        <x:v>0</x:v>
      </x:c>
      <x:c r="E77" s="6" t="n">
        <x:f>SUMIFS('DATEV 31.12.24'!$I$5:$I$793,'DATEV 31.12.24'!$B$5:$B$793,A77)</x:f>
        <x:v>11100</x:v>
      </x:c>
      <x:c r="F77" s="6" t="n">
        <x:f>D77-E77</x:f>
        <x:v>-11100</x:v>
      </x:c>
      <x:c r="G77" s="6" t="n">
        <x:f>SUMIFS('Nachtrag'!$D$5:$D$28,'Nachtrag'!$F$5:$F$28,A77)</x:f>
        <x:v>8900</x:v>
      </x:c>
      <x:c r="H77" t="str">
        <x:f>IF(A77=10069,"2023-Sammelbetrag einzeln klären",IF(COUNTIFS('Mandantenzeilen'!$D$5:$D$175,A77,'Mandantenzeilen'!$B$5:$B$175,"Hauptliste")=0,"Nur in DATEV-OPOS",IF(ABS(F77)&gt;0.01,"Abweichung zum 31.12.","Kontensaldo gleich")))</x:f>
        <x:v>Nur in DATEV-OPOS</x:v>
      </x:c>
    </x:row>
    <x:row r="78">
      <x:c r="A78" t="n">
        <x:v>10187</x:v>
      </x:c>
      <x:c r="B78" t="str">
        <x:v>Amelie Grawe</x:v>
      </x:c>
      <x:c r="C78" s="6" t="n">
        <x:f>SUMIFS('Mandantenzeilen'!$L$5:$L$175,'Mandantenzeilen'!$D$5:$D$175,A78,'Mandantenzeilen'!$B$5:$B$175,"Hauptliste")</x:f>
        <x:v>0</x:v>
      </x:c>
      <x:c r="D78" s="6" t="n">
        <x:f>SUMIFS('Mandantenzeilen'!$M$5:$M$175,'Mandantenzeilen'!$D$5:$D$175,A78,'Mandantenzeilen'!$B$5:$B$175,"Hauptliste")</x:f>
        <x:v>0</x:v>
      </x:c>
      <x:c r="E78" s="6" t="n">
        <x:f>SUMIFS('DATEV 31.12.24'!$I$5:$I$793,'DATEV 31.12.24'!$B$5:$B$793,A78)</x:f>
        <x:v>1260</x:v>
      </x:c>
      <x:c r="F78" s="6" t="n">
        <x:f>D78-E78</x:f>
        <x:v>-1260</x:v>
      </x:c>
      <x:c r="G78" s="6" t="n">
        <x:f>SUMIFS('Nachtrag'!$D$5:$D$28,'Nachtrag'!$F$5:$F$28,A78)</x:f>
        <x:v>504</x:v>
      </x:c>
      <x:c r="H78" t="str">
        <x:f>IF(A78=10069,"2023-Sammelbetrag einzeln klären",IF(COUNTIFS('Mandantenzeilen'!$D$5:$D$175,A78,'Mandantenzeilen'!$B$5:$B$175,"Hauptliste")=0,"Nur in DATEV-OPOS",IF(ABS(F78)&gt;0.01,"Abweichung zum 31.12.","Kontensaldo gleich")))</x:f>
        <x:v>Nur in DATEV-OPOS</x:v>
      </x:c>
    </x:row>
    <x:row r="79">
      <x:c r="A79" t="n">
        <x:v>10195</x:v>
      </x:c>
      <x:c r="B79" t="str">
        <x:v>Becker Emily</x:v>
      </x:c>
      <x:c r="C79" s="6" t="n">
        <x:f>SUMIFS('Mandantenzeilen'!$L$5:$L$175,'Mandantenzeilen'!$D$5:$D$175,A79,'Mandantenzeilen'!$B$5:$B$175,"Hauptliste")</x:f>
        <x:v>0</x:v>
      </x:c>
      <x:c r="D79" s="6" t="n">
        <x:f>SUMIFS('Mandantenzeilen'!$M$5:$M$175,'Mandantenzeilen'!$D$5:$D$175,A79,'Mandantenzeilen'!$B$5:$B$175,"Hauptliste")</x:f>
        <x:v>0</x:v>
      </x:c>
      <x:c r="E79" s="6" t="n">
        <x:f>SUMIFS('DATEV 31.12.24'!$I$5:$I$793,'DATEV 31.12.24'!$B$5:$B$793,A79)</x:f>
        <x:v>10550</x:v>
      </x:c>
      <x:c r="F79" s="6" t="n">
        <x:f>D79-E79</x:f>
        <x:v>-10550</x:v>
      </x:c>
      <x:c r="G79" s="6" t="n">
        <x:f>SUMIFS('Nachtrag'!$D$5:$D$28,'Nachtrag'!$F$5:$F$28,A79)</x:f>
        <x:v>2110</x:v>
      </x:c>
      <x:c r="H79" t="str">
        <x:f>IF(A79=10069,"2023-Sammelbetrag einzeln klären",IF(COUNTIFS('Mandantenzeilen'!$D$5:$D$175,A79,'Mandantenzeilen'!$B$5:$B$175,"Hauptliste")=0,"Nur in DATEV-OPOS",IF(ABS(F79)&gt;0.01,"Abweichung zum 31.12.","Kontensaldo gleich")))</x:f>
        <x:v>Nur in DATEV-OPOS</x:v>
      </x:c>
    </x:row>
    <x:row r="80">
      <x:c r="A80" t="n">
        <x:v>10196</x:v>
      </x:c>
      <x:c r="B80" t="str">
        <x:v>Loane Pages</x:v>
      </x:c>
      <x:c r="C80" s="6" t="n">
        <x:f>SUMIFS('Mandantenzeilen'!$L$5:$L$175,'Mandantenzeilen'!$D$5:$D$175,A80,'Mandantenzeilen'!$B$5:$B$175,"Hauptliste")</x:f>
        <x:v>0</x:v>
      </x:c>
      <x:c r="D80" s="6" t="n">
        <x:f>SUMIFS('Mandantenzeilen'!$M$5:$M$175,'Mandantenzeilen'!$D$5:$D$175,A80,'Mandantenzeilen'!$B$5:$B$175,"Hauptliste")</x:f>
        <x:v>0</x:v>
      </x:c>
      <x:c r="E80" s="6" t="n">
        <x:f>SUMIFS('DATEV 31.12.24'!$I$5:$I$793,'DATEV 31.12.24'!$B$5:$B$793,A80)</x:f>
        <x:v>1990</x:v>
      </x:c>
      <x:c r="F80" s="6" t="n">
        <x:f>D80-E80</x:f>
        <x:v>-1990</x:v>
      </x:c>
      <x:c r="G80" s="6" t="n">
        <x:f>SUMIFS('Nachtrag'!$D$5:$D$28,'Nachtrag'!$F$5:$F$28,A80)</x:f>
        <x:v>0</x:v>
      </x:c>
      <x:c r="H80" t="str">
        <x:f>IF(A80=10069,"2023-Sammelbetrag einzeln klären",IF(COUNTIFS('Mandantenzeilen'!$D$5:$D$175,A80,'Mandantenzeilen'!$B$5:$B$175,"Hauptliste")=0,"Nur in DATEV-OPOS",IF(ABS(F80)&gt;0.01,"Abweichung zum 31.12.","Kontensaldo gleich")))</x:f>
        <x:v>Nur in DATEV-OPOS</x:v>
      </x:c>
    </x:row>
    <x:row r="81">
      <x:c r="A81" t="n">
        <x:v>10200</x:v>
      </x:c>
      <x:c r="B81" t="str">
        <x:v>Christien LeBlanc 2024-329</x:v>
      </x:c>
      <x:c r="C81" s="6" t="n">
        <x:f>SUMIFS('Mandantenzeilen'!$L$5:$L$175,'Mandantenzeilen'!$D$5:$D$175,A81,'Mandantenzeilen'!$B$5:$B$175,"Hauptliste")</x:f>
        <x:v>0</x:v>
      </x:c>
      <x:c r="D81" s="6" t="n">
        <x:f>SUMIFS('Mandantenzeilen'!$M$5:$M$175,'Mandantenzeilen'!$D$5:$D$175,A81,'Mandantenzeilen'!$B$5:$B$175,"Hauptliste")</x:f>
        <x:v>0</x:v>
      </x:c>
      <x:c r="E81" s="6" t="n">
        <x:f>SUMIFS('DATEV 31.12.24'!$I$5:$I$793,'DATEV 31.12.24'!$B$5:$B$793,A81)</x:f>
        <x:v>3166</x:v>
      </x:c>
      <x:c r="F81" s="6" t="n">
        <x:f>D81-E81</x:f>
        <x:v>-3166</x:v>
      </x:c>
      <x:c r="G81" s="6" t="n">
        <x:f>SUMIFS('Nachtrag'!$D$5:$D$28,'Nachtrag'!$F$5:$F$28,A81)</x:f>
        <x:v>0</x:v>
      </x:c>
      <x:c r="H81" t="str">
        <x:f>IF(A81=10069,"2023-Sammelbetrag einzeln klären",IF(COUNTIFS('Mandantenzeilen'!$D$5:$D$175,A81,'Mandantenzeilen'!$B$5:$B$175,"Hauptliste")=0,"Nur in DATEV-OPOS",IF(ABS(F81)&gt;0.01,"Abweichung zum 31.12.","Kontensaldo gleich")))</x:f>
        <x:v>Nur in DATEV-OPOS</x:v>
      </x:c>
    </x:row>
    <x:row r="82">
      <x:c r="A82" t="n">
        <x:v>10202</x:v>
      </x:c>
      <x:c r="B82" t="str">
        <x:v>Lars Philipp Matzke</x:v>
      </x:c>
      <x:c r="C82" s="6" t="n">
        <x:f>SUMIFS('Mandantenzeilen'!$L$5:$L$175,'Mandantenzeilen'!$D$5:$D$175,A82,'Mandantenzeilen'!$B$5:$B$175,"Hauptliste")</x:f>
        <x:v>0</x:v>
      </x:c>
      <x:c r="D82" s="6" t="n">
        <x:f>SUMIFS('Mandantenzeilen'!$M$5:$M$175,'Mandantenzeilen'!$D$5:$D$175,A82,'Mandantenzeilen'!$B$5:$B$175,"Hauptliste")</x:f>
        <x:v>0</x:v>
      </x:c>
      <x:c r="E82" s="6" t="n">
        <x:f>SUMIFS('DATEV 31.12.24'!$I$5:$I$793,'DATEV 31.12.24'!$B$5:$B$793,A82)</x:f>
        <x:v>8260</x:v>
      </x:c>
      <x:c r="F82" s="6" t="n">
        <x:f>D82-E82</x:f>
        <x:v>-8260</x:v>
      </x:c>
      <x:c r="G82" s="6" t="n">
        <x:f>SUMIFS('Nachtrag'!$D$5:$D$28,'Nachtrag'!$F$5:$F$28,A82)</x:f>
        <x:v>6608</x:v>
      </x:c>
      <x:c r="H82" t="str">
        <x:f>IF(A82=10069,"2023-Sammelbetrag einzeln klären",IF(COUNTIFS('Mandantenzeilen'!$D$5:$D$175,A82,'Mandantenzeilen'!$B$5:$B$175,"Hauptliste")=0,"Nur in DATEV-OPOS",IF(ABS(F82)&gt;0.01,"Abweichung zum 31.12.","Kontensaldo gleich")))</x:f>
        <x:v>Nur in DATEV-OPOS</x:v>
      </x:c>
    </x:row>
    <x:row r="83">
      <x:c r="A83" t="n">
        <x:v>10203</x:v>
      </x:c>
      <x:c r="B83" t="str">
        <x:v>Noemi Talina Holenstein</x:v>
      </x:c>
      <x:c r="C83" s="6" t="n">
        <x:f>SUMIFS('Mandantenzeilen'!$L$5:$L$175,'Mandantenzeilen'!$D$5:$D$175,A83,'Mandantenzeilen'!$B$5:$B$175,"Hauptliste")</x:f>
        <x:v>0</x:v>
      </x:c>
      <x:c r="D83" s="6" t="n">
        <x:f>SUMIFS('Mandantenzeilen'!$M$5:$M$175,'Mandantenzeilen'!$D$5:$D$175,A83,'Mandantenzeilen'!$B$5:$B$175,"Hauptliste")</x:f>
        <x:v>0</x:v>
      </x:c>
      <x:c r="E83" s="6" t="n">
        <x:f>SUMIFS('DATEV 31.12.24'!$I$5:$I$793,'DATEV 31.12.24'!$B$5:$B$793,A83)</x:f>
        <x:v>10845</x:v>
      </x:c>
      <x:c r="F83" s="6" t="n">
        <x:f>D83-E83</x:f>
        <x:v>-10845</x:v>
      </x:c>
      <x:c r="G83" s="6" t="n">
        <x:f>SUMIFS('Nachtrag'!$D$5:$D$28,'Nachtrag'!$F$5:$F$28,A83)</x:f>
        <x:v>8676</x:v>
      </x:c>
      <x:c r="H83" t="str">
        <x:f>IF(A83=10069,"2023-Sammelbetrag einzeln klären",IF(COUNTIFS('Mandantenzeilen'!$D$5:$D$175,A83,'Mandantenzeilen'!$B$5:$B$175,"Hauptliste")=0,"Nur in DATEV-OPOS",IF(ABS(F83)&gt;0.01,"Abweichung zum 31.12.","Kontensaldo gleich")))</x:f>
        <x:v>Nur in DATEV-OPOS</x:v>
      </x:c>
    </x:row>
    <x:row r="84">
      <x:c r="A84" t="n">
        <x:v>10204</x:v>
      </x:c>
      <x:c r="B84" t="str">
        <x:v>Ivana Forde</x:v>
      </x:c>
      <x:c r="C84" s="6" t="n">
        <x:f>SUMIFS('Mandantenzeilen'!$L$5:$L$175,'Mandantenzeilen'!$D$5:$D$175,A84,'Mandantenzeilen'!$B$5:$B$175,"Hauptliste")</x:f>
        <x:v>1120</x:v>
      </x:c>
      <x:c r="D84" s="6" t="n">
        <x:f>SUMIFS('Mandantenzeilen'!$M$5:$M$175,'Mandantenzeilen'!$D$5:$D$175,A84,'Mandantenzeilen'!$B$5:$B$175,"Hauptliste")</x:f>
        <x:v>1120</x:v>
      </x:c>
      <x:c r="E84" s="6" t="n">
        <x:f>SUMIFS('DATEV 31.12.24'!$I$5:$I$793,'DATEV 31.12.24'!$B$5:$B$793,A84)</x:f>
        <x:v>1120</x:v>
      </x:c>
      <x:c r="F84" s="6" t="n">
        <x:f>D84-E84</x:f>
        <x:v>0</x:v>
      </x:c>
      <x:c r="G84" s="6" t="n">
        <x:f>SUMIFS('Nachtrag'!$D$5:$D$28,'Nachtrag'!$F$5:$F$28,A84)</x:f>
        <x:v>0</x:v>
      </x:c>
      <x:c r="H84" t="str">
        <x:f>IF(A84=10069,"2023-Sammelbetrag einzeln klären",IF(COUNTIFS('Mandantenzeilen'!$D$5:$D$175,A84,'Mandantenzeilen'!$B$5:$B$175,"Hauptliste")=0,"Nur in DATEV-OPOS",IF(ABS(F84)&gt;0.01,"Abweichung zum 31.12.","Kontensaldo gleich")))</x:f>
        <x:v>Kontensaldo gleich</x:v>
      </x:c>
    </x:row>
    <x:row r="85">
      <x:c r="A85" t="n">
        <x:v>10206</x:v>
      </x:c>
      <x:c r="B85" t="str">
        <x:v>Annalinda Klein</x:v>
      </x:c>
      <x:c r="C85" s="6" t="n">
        <x:f>SUMIFS('Mandantenzeilen'!$L$5:$L$175,'Mandantenzeilen'!$D$5:$D$175,A85,'Mandantenzeilen'!$B$5:$B$175,"Hauptliste")</x:f>
        <x:v>0</x:v>
      </x:c>
      <x:c r="D85" s="6" t="n">
        <x:f>SUMIFS('Mandantenzeilen'!$M$5:$M$175,'Mandantenzeilen'!$D$5:$D$175,A85,'Mandantenzeilen'!$B$5:$B$175,"Hauptliste")</x:f>
        <x:v>0</x:v>
      </x:c>
      <x:c r="E85" s="6" t="n">
        <x:f>SUMIFS('DATEV 31.12.24'!$I$5:$I$793,'DATEV 31.12.24'!$B$5:$B$793,A85)</x:f>
        <x:v>1350</x:v>
      </x:c>
      <x:c r="F85" s="6" t="n">
        <x:f>D85-E85</x:f>
        <x:v>-1350</x:v>
      </x:c>
      <x:c r="G85" s="6" t="n">
        <x:f>SUMIFS('Nachtrag'!$D$5:$D$28,'Nachtrag'!$F$5:$F$28,A85)</x:f>
        <x:v>0</x:v>
      </x:c>
      <x:c r="H85" t="str">
        <x:f>IF(A85=10069,"2023-Sammelbetrag einzeln klären",IF(COUNTIFS('Mandantenzeilen'!$D$5:$D$175,A85,'Mandantenzeilen'!$B$5:$B$175,"Hauptliste")=0,"Nur in DATEV-OPOS",IF(ABS(F85)&gt;0.01,"Abweichung zum 31.12.","Kontensaldo gleich")))</x:f>
        <x:v>Nur in DATEV-OPOS</x:v>
      </x:c>
    </x:row>
    <x:row r="86">
      <x:c r="A86" t="n">
        <x:v>10208</x:v>
      </x:c>
      <x:c r="B86" t="str">
        <x:v>Katharina Jung</x:v>
      </x:c>
      <x:c r="C86" s="6" t="n">
        <x:f>SUMIFS('Mandantenzeilen'!$L$5:$L$175,'Mandantenzeilen'!$D$5:$D$175,A86,'Mandantenzeilen'!$B$5:$B$175,"Hauptliste")</x:f>
        <x:v>0</x:v>
      </x:c>
      <x:c r="D86" s="6" t="n">
        <x:f>SUMIFS('Mandantenzeilen'!$M$5:$M$175,'Mandantenzeilen'!$D$5:$D$175,A86,'Mandantenzeilen'!$B$5:$B$175,"Hauptliste")</x:f>
        <x:v>0</x:v>
      </x:c>
      <x:c r="E86" s="6" t="n">
        <x:f>SUMIFS('DATEV 31.12.24'!$I$5:$I$793,'DATEV 31.12.24'!$B$5:$B$793,A86)</x:f>
        <x:v>6349</x:v>
      </x:c>
      <x:c r="F86" s="6" t="n">
        <x:f>D86-E86</x:f>
        <x:v>-6349</x:v>
      </x:c>
      <x:c r="G86" s="6" t="n">
        <x:f>SUMIFS('Nachtrag'!$D$5:$D$28,'Nachtrag'!$F$5:$F$28,A86)</x:f>
        <x:v>5079.2</x:v>
      </x:c>
      <x:c r="H86" t="str">
        <x:f>IF(A86=10069,"2023-Sammelbetrag einzeln klären",IF(COUNTIFS('Mandantenzeilen'!$D$5:$D$175,A86,'Mandantenzeilen'!$B$5:$B$175,"Hauptliste")=0,"Nur in DATEV-OPOS",IF(ABS(F86)&gt;0.01,"Abweichung zum 31.12.","Kontensaldo gleich")))</x:f>
        <x:v>Nur in DATEV-OPOS</x:v>
      </x:c>
    </x:row>
    <x:row r="87">
      <x:c r="A87" t="n">
        <x:v>10210</x:v>
      </x:c>
      <x:c r="B87" t="str">
        <x:v>Freja Schuldt</x:v>
      </x:c>
      <x:c r="C87" s="6" t="n">
        <x:f>SUMIFS('Mandantenzeilen'!$L$5:$L$175,'Mandantenzeilen'!$D$5:$D$175,A87,'Mandantenzeilen'!$B$5:$B$175,"Hauptliste")</x:f>
        <x:v>0</x:v>
      </x:c>
      <x:c r="D87" s="6" t="n">
        <x:f>SUMIFS('Mandantenzeilen'!$M$5:$M$175,'Mandantenzeilen'!$D$5:$D$175,A87,'Mandantenzeilen'!$B$5:$B$175,"Hauptliste")</x:f>
        <x:v>0</x:v>
      </x:c>
      <x:c r="E87" s="6" t="n">
        <x:f>SUMIFS('DATEV 31.12.24'!$I$5:$I$793,'DATEV 31.12.24'!$B$5:$B$793,A87)</x:f>
        <x:v>370</x:v>
      </x:c>
      <x:c r="F87" s="6" t="n">
        <x:f>D87-E87</x:f>
        <x:v>-370</x:v>
      </x:c>
      <x:c r="G87" s="6" t="n">
        <x:f>SUMIFS('Nachtrag'!$D$5:$D$28,'Nachtrag'!$F$5:$F$28,A87)</x:f>
        <x:v>0</x:v>
      </x:c>
      <x:c r="H87" t="str">
        <x:f>IF(A87=10069,"2023-Sammelbetrag einzeln klären",IF(COUNTIFS('Mandantenzeilen'!$D$5:$D$175,A87,'Mandantenzeilen'!$B$5:$B$175,"Hauptliste")=0,"Nur in DATEV-OPOS",IF(ABS(F87)&gt;0.01,"Abweichung zum 31.12.","Kontensaldo gleich")))</x:f>
        <x:v>Nur in DATEV-OPOS</x:v>
      </x:c>
    </x:row>
    <x:row r="88">
      <x:c r="A88" t="n">
        <x:v>10211</x:v>
      </x:c>
      <x:c r="B88" t="str">
        <x:v>Julian Schupp</x:v>
      </x:c>
      <x:c r="C88" s="6" t="n">
        <x:f>SUMIFS('Mandantenzeilen'!$L$5:$L$175,'Mandantenzeilen'!$D$5:$D$175,A88,'Mandantenzeilen'!$B$5:$B$175,"Hauptliste")</x:f>
        <x:v>0</x:v>
      </x:c>
      <x:c r="D88" s="6" t="n">
        <x:f>SUMIFS('Mandantenzeilen'!$M$5:$M$175,'Mandantenzeilen'!$D$5:$D$175,A88,'Mandantenzeilen'!$B$5:$B$175,"Hauptliste")</x:f>
        <x:v>0</x:v>
      </x:c>
      <x:c r="E88" s="6" t="n">
        <x:f>SUMIFS('DATEV 31.12.24'!$I$5:$I$793,'DATEV 31.12.24'!$B$5:$B$793,A88)</x:f>
        <x:v>3470</x:v>
      </x:c>
      <x:c r="F88" s="6" t="n">
        <x:f>D88-E88</x:f>
        <x:v>-3470</x:v>
      </x:c>
      <x:c r="G88" s="6" t="n">
        <x:f>SUMIFS('Nachtrag'!$D$5:$D$28,'Nachtrag'!$F$5:$F$28,A88)</x:f>
        <x:v>2776</x:v>
      </x:c>
      <x:c r="H88" t="str">
        <x:f>IF(A88=10069,"2023-Sammelbetrag einzeln klären",IF(COUNTIFS('Mandantenzeilen'!$D$5:$D$175,A88,'Mandantenzeilen'!$B$5:$B$175,"Hauptliste")=0,"Nur in DATEV-OPOS",IF(ABS(F88)&gt;0.01,"Abweichung zum 31.12.","Kontensaldo gleich")))</x:f>
        <x:v>Nur in DATEV-OPOS</x:v>
      </x:c>
    </x:row>
    <x:row r="89">
      <x:c r="A89" t="n">
        <x:v>10212</x:v>
      </x:c>
      <x:c r="B89" t="str">
        <x:v>Constantin Mertens</x:v>
      </x:c>
      <x:c r="C89" s="6" t="n">
        <x:f>SUMIFS('Mandantenzeilen'!$L$5:$L$175,'Mandantenzeilen'!$D$5:$D$175,A89,'Mandantenzeilen'!$B$5:$B$175,"Hauptliste")</x:f>
        <x:v>0</x:v>
      </x:c>
      <x:c r="D89" s="6" t="n">
        <x:f>SUMIFS('Mandantenzeilen'!$M$5:$M$175,'Mandantenzeilen'!$D$5:$D$175,A89,'Mandantenzeilen'!$B$5:$B$175,"Hauptliste")</x:f>
        <x:v>0</x:v>
      </x:c>
      <x:c r="E89" s="6" t="n">
        <x:f>SUMIFS('DATEV 31.12.24'!$I$5:$I$793,'DATEV 31.12.24'!$B$5:$B$793,A89)</x:f>
        <x:v>544</x:v>
      </x:c>
      <x:c r="F89" s="6" t="n">
        <x:f>D89-E89</x:f>
        <x:v>-544</x:v>
      </x:c>
      <x:c r="G89" s="6" t="n">
        <x:f>SUMIFS('Nachtrag'!$D$5:$D$28,'Nachtrag'!$F$5:$F$28,A89)</x:f>
        <x:v>435.2</x:v>
      </x:c>
      <x:c r="H89" t="str">
        <x:f>IF(A89=10069,"2023-Sammelbetrag einzeln klären",IF(COUNTIFS('Mandantenzeilen'!$D$5:$D$175,A89,'Mandantenzeilen'!$B$5:$B$175,"Hauptliste")=0,"Nur in DATEV-OPOS",IF(ABS(F89)&gt;0.01,"Abweichung zum 31.12.","Kontensaldo gleich")))</x:f>
        <x:v>Nur in DATEV-OPOS</x:v>
      </x:c>
    </x:row>
    <x:row r="90">
      <x:c r="A90" t="n">
        <x:v>10213</x:v>
      </x:c>
      <x:c r="B90" t="str">
        <x:v>Luis Schley</x:v>
      </x:c>
      <x:c r="C90" s="6" t="n">
        <x:f>SUMIFS('Mandantenzeilen'!$L$5:$L$175,'Mandantenzeilen'!$D$5:$D$175,A90,'Mandantenzeilen'!$B$5:$B$175,"Hauptliste")</x:f>
        <x:v>0</x:v>
      </x:c>
      <x:c r="D90" s="6" t="n">
        <x:f>SUMIFS('Mandantenzeilen'!$M$5:$M$175,'Mandantenzeilen'!$D$5:$D$175,A90,'Mandantenzeilen'!$B$5:$B$175,"Hauptliste")</x:f>
        <x:v>1291</x:v>
      </x:c>
      <x:c r="E90" s="6" t="n">
        <x:f>SUMIFS('DATEV 31.12.24'!$I$5:$I$793,'DATEV 31.12.24'!$B$5:$B$793,A90)</x:f>
        <x:v>2582</x:v>
      </x:c>
      <x:c r="F90" s="6" t="n">
        <x:f>D90-E90</x:f>
        <x:v>-1291</x:v>
      </x:c>
      <x:c r="G90" s="6" t="n">
        <x:f>SUMIFS('Nachtrag'!$D$5:$D$28,'Nachtrag'!$F$5:$F$28,A90)</x:f>
        <x:v>0</x:v>
      </x:c>
      <x:c r="H90" t="str">
        <x:f>IF(A90=10069,"2023-Sammelbetrag einzeln klären",IF(COUNTIFS('Mandantenzeilen'!$D$5:$D$175,A90,'Mandantenzeilen'!$B$5:$B$175,"Hauptliste")=0,"Nur in DATEV-OPOS",IF(ABS(F90)&gt;0.01,"Abweichung zum 31.12.","Kontensaldo gleich")))</x:f>
        <x:v>Abweichung zum 31.12.</x:v>
      </x:c>
    </x:row>
    <x:row r="91">
      <x:c r="A91" t="n">
        <x:v>10214</x:v>
      </x:c>
      <x:c r="B91" t="str">
        <x:v>Annika Glassl</x:v>
      </x:c>
      <x:c r="C91" s="6" t="n">
        <x:f>SUMIFS('Mandantenzeilen'!$L$5:$L$175,'Mandantenzeilen'!$D$5:$D$175,A91,'Mandantenzeilen'!$B$5:$B$175,"Hauptliste")</x:f>
        <x:v>0</x:v>
      </x:c>
      <x:c r="D91" s="6" t="n">
        <x:f>SUMIFS('Mandantenzeilen'!$M$5:$M$175,'Mandantenzeilen'!$D$5:$D$175,A91,'Mandantenzeilen'!$B$5:$B$175,"Hauptliste")</x:f>
        <x:v>0</x:v>
      </x:c>
      <x:c r="E91" s="6" t="n">
        <x:f>SUMIFS('DATEV 31.12.24'!$I$5:$I$793,'DATEV 31.12.24'!$B$5:$B$793,A91)</x:f>
        <x:v>780</x:v>
      </x:c>
      <x:c r="F91" s="6" t="n">
        <x:f>D91-E91</x:f>
        <x:v>-780</x:v>
      </x:c>
      <x:c r="G91" s="6" t="n">
        <x:f>SUMIFS('Nachtrag'!$D$5:$D$28,'Nachtrag'!$F$5:$F$28,A91)</x:f>
        <x:v>0</x:v>
      </x:c>
      <x:c r="H91" t="str">
        <x:f>IF(A91=10069,"2023-Sammelbetrag einzeln klären",IF(COUNTIFS('Mandantenzeilen'!$D$5:$D$175,A91,'Mandantenzeilen'!$B$5:$B$175,"Hauptliste")=0,"Nur in DATEV-OPOS",IF(ABS(F91)&gt;0.01,"Abweichung zum 31.12.","Kontensaldo gleich")))</x:f>
        <x:v>Nur in DATEV-OPOS</x:v>
      </x:c>
    </x:row>
    <x:row r="92">
      <x:c r="A92" t="n">
        <x:v>10215</x:v>
      </x:c>
      <x:c r="B92" t="str">
        <x:v>Erik Bauer</x:v>
      </x:c>
      <x:c r="C92" s="6" t="n">
        <x:f>SUMIFS('Mandantenzeilen'!$L$5:$L$175,'Mandantenzeilen'!$D$5:$D$175,A92,'Mandantenzeilen'!$B$5:$B$175,"Hauptliste")</x:f>
        <x:v>0</x:v>
      </x:c>
      <x:c r="D92" s="6" t="n">
        <x:f>SUMIFS('Mandantenzeilen'!$M$5:$M$175,'Mandantenzeilen'!$D$5:$D$175,A92,'Mandantenzeilen'!$B$5:$B$175,"Hauptliste")</x:f>
        <x:v>0</x:v>
      </x:c>
      <x:c r="E92" s="6" t="n">
        <x:f>SUMIFS('DATEV 31.12.24'!$I$5:$I$793,'DATEV 31.12.24'!$B$5:$B$793,A92)</x:f>
        <x:v>3240</x:v>
      </x:c>
      <x:c r="F92" s="6" t="n">
        <x:f>D92-E92</x:f>
        <x:v>-3240</x:v>
      </x:c>
      <x:c r="G92" s="6" t="n">
        <x:f>SUMIFS('Nachtrag'!$D$5:$D$28,'Nachtrag'!$F$5:$F$28,A92)</x:f>
        <x:v>0</x:v>
      </x:c>
      <x:c r="H92" t="str">
        <x:f>IF(A92=10069,"2023-Sammelbetrag einzeln klären",IF(COUNTIFS('Mandantenzeilen'!$D$5:$D$175,A92,'Mandantenzeilen'!$B$5:$B$175,"Hauptliste")=0,"Nur in DATEV-OPOS",IF(ABS(F92)&gt;0.01,"Abweichung zum 31.12.","Kontensaldo gleich")))</x:f>
        <x:v>Nur in DATEV-OPOS</x:v>
      </x:c>
    </x:row>
    <x:row r="93">
      <x:c r="A93" t="n">
        <x:v>10216</x:v>
      </x:c>
      <x:c r="B93" t="str">
        <x:v>Mina Hathiramani</x:v>
      </x:c>
      <x:c r="C93" s="6" t="n">
        <x:f>SUMIFS('Mandantenzeilen'!$L$5:$L$175,'Mandantenzeilen'!$D$5:$D$175,A93,'Mandantenzeilen'!$B$5:$B$175,"Hauptliste")</x:f>
        <x:v>0</x:v>
      </x:c>
      <x:c r="D93" s="6" t="n">
        <x:f>SUMIFS('Mandantenzeilen'!$M$5:$M$175,'Mandantenzeilen'!$D$5:$D$175,A93,'Mandantenzeilen'!$B$5:$B$175,"Hauptliste")</x:f>
        <x:v>0</x:v>
      </x:c>
      <x:c r="E93" s="6" t="n">
        <x:f>SUMIFS('DATEV 31.12.24'!$I$5:$I$793,'DATEV 31.12.24'!$B$5:$B$793,A93)</x:f>
        <x:v>9900</x:v>
      </x:c>
      <x:c r="F93" s="6" t="n">
        <x:f>D93-E93</x:f>
        <x:v>-9900</x:v>
      </x:c>
      <x:c r="G93" s="6" t="n">
        <x:f>SUMIFS('Nachtrag'!$D$5:$D$28,'Nachtrag'!$F$5:$F$28,A93)</x:f>
        <x:v>0</x:v>
      </x:c>
      <x:c r="H93" t="str">
        <x:f>IF(A93=10069,"2023-Sammelbetrag einzeln klären",IF(COUNTIFS('Mandantenzeilen'!$D$5:$D$175,A93,'Mandantenzeilen'!$B$5:$B$175,"Hauptliste")=0,"Nur in DATEV-OPOS",IF(ABS(F93)&gt;0.01,"Abweichung zum 31.12.","Kontensaldo gleich")))</x:f>
        <x:v>Nur in DATEV-OPOS</x:v>
      </x:c>
    </x:row>
    <x:row r="94">
      <x:c r="A94" t="n">
        <x:v>10217</x:v>
      </x:c>
      <x:c r="B94" t="str">
        <x:v>Luca Finn Kapoor</x:v>
      </x:c>
      <x:c r="C94" s="6" t="n">
        <x:f>SUMIFS('Mandantenzeilen'!$L$5:$L$175,'Mandantenzeilen'!$D$5:$D$175,A94,'Mandantenzeilen'!$B$5:$B$175,"Hauptliste")</x:f>
        <x:v>0</x:v>
      </x:c>
      <x:c r="D94" s="6" t="n">
        <x:f>SUMIFS('Mandantenzeilen'!$M$5:$M$175,'Mandantenzeilen'!$D$5:$D$175,A94,'Mandantenzeilen'!$B$5:$B$175,"Hauptliste")</x:f>
        <x:v>1382</x:v>
      </x:c>
      <x:c r="E94" s="6" t="n">
        <x:f>SUMIFS('DATEV 31.12.24'!$I$5:$I$793,'DATEV 31.12.24'!$B$5:$B$793,A94)</x:f>
        <x:v>1382</x:v>
      </x:c>
      <x:c r="F94" s="6" t="n">
        <x:f>D94-E94</x:f>
        <x:v>0</x:v>
      </x:c>
      <x:c r="G94" s="6" t="n">
        <x:f>SUMIFS('Nachtrag'!$D$5:$D$28,'Nachtrag'!$F$5:$F$28,A94)</x:f>
        <x:v>0</x:v>
      </x:c>
      <x:c r="H94" t="str">
        <x:f>IF(A94=10069,"2023-Sammelbetrag einzeln klären",IF(COUNTIFS('Mandantenzeilen'!$D$5:$D$175,A94,'Mandantenzeilen'!$B$5:$B$175,"Hauptliste")=0,"Nur in DATEV-OPOS",IF(ABS(F94)&gt;0.01,"Abweichung zum 31.12.","Kontensaldo gleich")))</x:f>
        <x:v>Kontensaldo gleich</x:v>
      </x:c>
    </x:row>
    <x:row r="95">
      <x:c r="A95" t="n">
        <x:v>10218</x:v>
      </x:c>
      <x:c r="B95" t="str">
        <x:v>Minou Liebmann</x:v>
      </x:c>
      <x:c r="C95" s="6" t="n">
        <x:f>SUMIFS('Mandantenzeilen'!$L$5:$L$175,'Mandantenzeilen'!$D$5:$D$175,A95,'Mandantenzeilen'!$B$5:$B$175,"Hauptliste")</x:f>
        <x:v>0</x:v>
      </x:c>
      <x:c r="D95" s="6" t="n">
        <x:f>SUMIFS('Mandantenzeilen'!$M$5:$M$175,'Mandantenzeilen'!$D$5:$D$175,A95,'Mandantenzeilen'!$B$5:$B$175,"Hauptliste")</x:f>
        <x:v>0</x:v>
      </x:c>
      <x:c r="E95" s="6" t="n">
        <x:f>SUMIFS('DATEV 31.12.24'!$I$5:$I$793,'DATEV 31.12.24'!$B$5:$B$793,A95)</x:f>
        <x:v>8100</x:v>
      </x:c>
      <x:c r="F95" s="6" t="n">
        <x:f>D95-E95</x:f>
        <x:v>-8100</x:v>
      </x:c>
      <x:c r="G95" s="6" t="n">
        <x:f>SUMIFS('Nachtrag'!$D$5:$D$28,'Nachtrag'!$F$5:$F$28,A95)</x:f>
        <x:v>6480</x:v>
      </x:c>
      <x:c r="H95" t="str">
        <x:f>IF(A95=10069,"2023-Sammelbetrag einzeln klären",IF(COUNTIFS('Mandantenzeilen'!$D$5:$D$175,A95,'Mandantenzeilen'!$B$5:$B$175,"Hauptliste")=0,"Nur in DATEV-OPOS",IF(ABS(F95)&gt;0.01,"Abweichung zum 31.12.","Kontensaldo gleich")))</x:f>
        <x:v>Nur in DATEV-OPOS</x:v>
      </x:c>
    </x:row>
    <x:row r="96">
      <x:c r="A96" t="n">
        <x:v>10219</x:v>
      </x:c>
      <x:c r="B96" t="str">
        <x:v>Mara Noll</x:v>
      </x:c>
      <x:c r="C96" s="6" t="n">
        <x:f>SUMIFS('Mandantenzeilen'!$L$5:$L$175,'Mandantenzeilen'!$D$5:$D$175,A96,'Mandantenzeilen'!$B$5:$B$175,"Hauptliste")</x:f>
        <x:v>0</x:v>
      </x:c>
      <x:c r="D96" s="6" t="n">
        <x:f>SUMIFS('Mandantenzeilen'!$M$5:$M$175,'Mandantenzeilen'!$D$5:$D$175,A96,'Mandantenzeilen'!$B$5:$B$175,"Hauptliste")</x:f>
        <x:v>0</x:v>
      </x:c>
      <x:c r="E96" s="6" t="n">
        <x:f>SUMIFS('DATEV 31.12.24'!$I$5:$I$793,'DATEV 31.12.24'!$B$5:$B$793,A96)</x:f>
        <x:v>3850</x:v>
      </x:c>
      <x:c r="F96" s="6" t="n">
        <x:f>D96-E96</x:f>
        <x:v>-3850</x:v>
      </x:c>
      <x:c r="G96" s="6" t="n">
        <x:f>SUMIFS('Nachtrag'!$D$5:$D$28,'Nachtrag'!$F$5:$F$28,A96)</x:f>
        <x:v>3850</x:v>
      </x:c>
      <x:c r="H96" t="str">
        <x:f>IF(A96=10069,"2023-Sammelbetrag einzeln klären",IF(COUNTIFS('Mandantenzeilen'!$D$5:$D$175,A96,'Mandantenzeilen'!$B$5:$B$175,"Hauptliste")=0,"Nur in DATEV-OPOS",IF(ABS(F96)&gt;0.01,"Abweichung zum 31.12.","Kontensaldo gleich")))</x:f>
        <x:v>Nur in DATEV-OPOS</x:v>
      </x:c>
    </x:row>
    <x:row r="97">
      <x:c r="A97" t="n">
        <x:v>10220</x:v>
      </x:c>
      <x:c r="B97" t="str">
        <x:v>Maya Buhl</x:v>
      </x:c>
      <x:c r="C97" s="6" t="n">
        <x:f>SUMIFS('Mandantenzeilen'!$L$5:$L$175,'Mandantenzeilen'!$D$5:$D$175,A97,'Mandantenzeilen'!$B$5:$B$175,"Hauptliste")</x:f>
        <x:v>0</x:v>
      </x:c>
      <x:c r="D97" s="6" t="n">
        <x:f>SUMIFS('Mandantenzeilen'!$M$5:$M$175,'Mandantenzeilen'!$D$5:$D$175,A97,'Mandantenzeilen'!$B$5:$B$175,"Hauptliste")</x:f>
        <x:v>427</x:v>
      </x:c>
      <x:c r="E97" s="6" t="n">
        <x:f>SUMIFS('DATEV 31.12.24'!$I$5:$I$793,'DATEV 31.12.24'!$B$5:$B$793,A97)</x:f>
        <x:v>427</x:v>
      </x:c>
      <x:c r="F97" s="6" t="n">
        <x:f>D97-E97</x:f>
        <x:v>0</x:v>
      </x:c>
      <x:c r="G97" s="6" t="n">
        <x:f>SUMIFS('Nachtrag'!$D$5:$D$28,'Nachtrag'!$F$5:$F$28,A97)</x:f>
        <x:v>0</x:v>
      </x:c>
      <x:c r="H97" t="str">
        <x:f>IF(A97=10069,"2023-Sammelbetrag einzeln klären",IF(COUNTIFS('Mandantenzeilen'!$D$5:$D$175,A97,'Mandantenzeilen'!$B$5:$B$175,"Hauptliste")=0,"Nur in DATEV-OPOS",IF(ABS(F97)&gt;0.01,"Abweichung zum 31.12.","Kontensaldo gleich")))</x:f>
        <x:v>Kontensaldo gleich</x:v>
      </x:c>
    </x:row>
    <x:row r="98">
      <x:c r="A98" t="n">
        <x:v>10221</x:v>
      </x:c>
      <x:c r="B98" t="str">
        <x:v>Léo Paul Cord'homme</x:v>
      </x:c>
      <x:c r="C98" s="6" t="n">
        <x:f>SUMIFS('Mandantenzeilen'!$L$5:$L$175,'Mandantenzeilen'!$D$5:$D$175,A98,'Mandantenzeilen'!$B$5:$B$175,"Hauptliste")</x:f>
        <x:v>0</x:v>
      </x:c>
      <x:c r="D98" s="6" t="n">
        <x:f>SUMIFS('Mandantenzeilen'!$M$5:$M$175,'Mandantenzeilen'!$D$5:$D$175,A98,'Mandantenzeilen'!$B$5:$B$175,"Hauptliste")</x:f>
        <x:v>815</x:v>
      </x:c>
      <x:c r="E98" s="6" t="n">
        <x:f>SUMIFS('DATEV 31.12.24'!$I$5:$I$793,'DATEV 31.12.24'!$B$5:$B$793,A98)</x:f>
        <x:v>815</x:v>
      </x:c>
      <x:c r="F98" s="6" t="n">
        <x:f>D98-E98</x:f>
        <x:v>0</x:v>
      </x:c>
      <x:c r="G98" s="6" t="n">
        <x:f>SUMIFS('Nachtrag'!$D$5:$D$28,'Nachtrag'!$F$5:$F$28,A98)</x:f>
        <x:v>0</x:v>
      </x:c>
      <x:c r="H98" t="str">
        <x:f>IF(A98=10069,"2023-Sammelbetrag einzeln klären",IF(COUNTIFS('Mandantenzeilen'!$D$5:$D$175,A98,'Mandantenzeilen'!$B$5:$B$175,"Hauptliste")=0,"Nur in DATEV-OPOS",IF(ABS(F98)&gt;0.01,"Abweichung zum 31.12.","Kontensaldo gleich")))</x:f>
        <x:v>Kontensaldo gleich</x:v>
      </x:c>
    </x:row>
    <x:row r="99">
      <x:c r="A99" t="n">
        <x:v>10222</x:v>
      </x:c>
      <x:c r="B99" t="str">
        <x:v>Alice Renoux</x:v>
      </x:c>
      <x:c r="C99" s="6" t="n">
        <x:f>SUMIFS('Mandantenzeilen'!$L$5:$L$175,'Mandantenzeilen'!$D$5:$D$175,A99,'Mandantenzeilen'!$B$5:$B$175,"Hauptliste")</x:f>
        <x:v>0</x:v>
      </x:c>
      <x:c r="D99" s="6" t="n">
        <x:f>SUMIFS('Mandantenzeilen'!$M$5:$M$175,'Mandantenzeilen'!$D$5:$D$175,A99,'Mandantenzeilen'!$B$5:$B$175,"Hauptliste")</x:f>
        <x:v>815</x:v>
      </x:c>
      <x:c r="E99" s="6" t="n">
        <x:f>SUMIFS('DATEV 31.12.24'!$I$5:$I$793,'DATEV 31.12.24'!$B$5:$B$793,A99)</x:f>
        <x:v>815</x:v>
      </x:c>
      <x:c r="F99" s="6" t="n">
        <x:f>D99-E99</x:f>
        <x:v>0</x:v>
      </x:c>
      <x:c r="G99" s="6" t="n">
        <x:f>SUMIFS('Nachtrag'!$D$5:$D$28,'Nachtrag'!$F$5:$F$28,A99)</x:f>
        <x:v>0</x:v>
      </x:c>
      <x:c r="H99" t="str">
        <x:f>IF(A99=10069,"2023-Sammelbetrag einzeln klären",IF(COUNTIFS('Mandantenzeilen'!$D$5:$D$175,A99,'Mandantenzeilen'!$B$5:$B$175,"Hauptliste")=0,"Nur in DATEV-OPOS",IF(ABS(F99)&gt;0.01,"Abweichung zum 31.12.","Kontensaldo gleich")))</x:f>
        <x:v>Kontensaldo gleich</x:v>
      </x:c>
    </x:row>
    <x:row r="100">
      <x:c r="A100" t="n">
        <x:v>10223</x:v>
      </x:c>
      <x:c r="B100" t="str">
        <x:v>Noah Hess</x:v>
      </x:c>
      <x:c r="C100" s="6" t="n">
        <x:f>SUMIFS('Mandantenzeilen'!$L$5:$L$175,'Mandantenzeilen'!$D$5:$D$175,A100,'Mandantenzeilen'!$B$5:$B$175,"Hauptliste")</x:f>
        <x:v>0</x:v>
      </x:c>
      <x:c r="D100" s="6" t="n">
        <x:f>SUMIFS('Mandantenzeilen'!$M$5:$M$175,'Mandantenzeilen'!$D$5:$D$175,A100,'Mandantenzeilen'!$B$5:$B$175,"Hauptliste")</x:f>
        <x:v>1018</x:v>
      </x:c>
      <x:c r="E100" s="6" t="n">
        <x:f>SUMIFS('DATEV 31.12.24'!$I$5:$I$793,'DATEV 31.12.24'!$B$5:$B$793,A100)</x:f>
        <x:v>1018</x:v>
      </x:c>
      <x:c r="F100" s="6" t="n">
        <x:f>D100-E100</x:f>
        <x:v>0</x:v>
      </x:c>
      <x:c r="G100" s="6" t="n">
        <x:f>SUMIFS('Nachtrag'!$D$5:$D$28,'Nachtrag'!$F$5:$F$28,A100)</x:f>
        <x:v>0</x:v>
      </x:c>
      <x:c r="H100" t="str">
        <x:f>IF(A100=10069,"2023-Sammelbetrag einzeln klären",IF(COUNTIFS('Mandantenzeilen'!$D$5:$D$175,A100,'Mandantenzeilen'!$B$5:$B$175,"Hauptliste")=0,"Nur in DATEV-OPOS",IF(ABS(F100)&gt;0.01,"Abweichung zum 31.12.","Kontensaldo gleich")))</x:f>
        <x:v>Kontensaldo gleich</x:v>
      </x:c>
    </x:row>
    <x:row r="101">
      <x:c r="A101" t="n">
        <x:v>10224</x:v>
      </x:c>
      <x:c r="B101" t="str">
        <x:v>Mandy Alex</x:v>
      </x:c>
      <x:c r="C101" s="6" t="n">
        <x:f>SUMIFS('Mandantenzeilen'!$L$5:$L$175,'Mandantenzeilen'!$D$5:$D$175,A101,'Mandantenzeilen'!$B$5:$B$175,"Hauptliste")</x:f>
        <x:v>0</x:v>
      </x:c>
      <x:c r="D101" s="6" t="n">
        <x:f>SUMIFS('Mandantenzeilen'!$M$5:$M$175,'Mandantenzeilen'!$D$5:$D$175,A101,'Mandantenzeilen'!$B$5:$B$175,"Hauptliste")</x:f>
        <x:v>649</x:v>
      </x:c>
      <x:c r="E101" s="6" t="n">
        <x:f>SUMIFS('DATEV 31.12.24'!$I$5:$I$793,'DATEV 31.12.24'!$B$5:$B$793,A101)</x:f>
        <x:v>649</x:v>
      </x:c>
      <x:c r="F101" s="6" t="n">
        <x:f>D101-E101</x:f>
        <x:v>0</x:v>
      </x:c>
      <x:c r="G101" s="6" t="n">
        <x:f>SUMIFS('Nachtrag'!$D$5:$D$28,'Nachtrag'!$F$5:$F$28,A101)</x:f>
        <x:v>0</x:v>
      </x:c>
      <x:c r="H101" t="str">
        <x:f>IF(A101=10069,"2023-Sammelbetrag einzeln klären",IF(COUNTIFS('Mandantenzeilen'!$D$5:$D$175,A101,'Mandantenzeilen'!$B$5:$B$175,"Hauptliste")=0,"Nur in DATEV-OPOS",IF(ABS(F101)&gt;0.01,"Abweichung zum 31.12.","Kontensaldo gleich")))</x:f>
        <x:v>Kontensaldo gleich</x:v>
      </x:c>
    </x:row>
    <x:row r="102">
      <x:c r="A102" t="n">
        <x:v>10225</x:v>
      </x:c>
      <x:c r="B102" t="str">
        <x:v>Huiberts Luni Cancellation Invoice</x:v>
      </x:c>
      <x:c r="C102" s="6" t="n">
        <x:f>SUMIFS('Mandantenzeilen'!$L$5:$L$175,'Mandantenzeilen'!$D$5:$D$175,A102,'Mandantenzeilen'!$B$5:$B$175,"Hauptliste")</x:f>
        <x:v>0</x:v>
      </x:c>
      <x:c r="D102" s="6" t="n">
        <x:f>SUMIFS('Mandantenzeilen'!$M$5:$M$175,'Mandantenzeilen'!$D$5:$D$175,A102,'Mandantenzeilen'!$B$5:$B$175,"Hauptliste")</x:f>
        <x:v>0</x:v>
      </x:c>
      <x:c r="E102" s="6" t="n">
        <x:f>SUMIFS('DATEV 31.12.24'!$I$5:$I$793,'DATEV 31.12.24'!$B$5:$B$793,A102)</x:f>
        <x:v>107.6</x:v>
      </x:c>
      <x:c r="F102" s="6" t="n">
        <x:f>D102-E102</x:f>
        <x:v>-107.6</x:v>
      </x:c>
      <x:c r="G102" s="6" t="n">
        <x:f>SUMIFS('Nachtrag'!$D$5:$D$28,'Nachtrag'!$F$5:$F$28,A102)</x:f>
        <x:v>0</x:v>
      </x:c>
      <x:c r="H102" t="str">
        <x:f>IF(A102=10069,"2023-Sammelbetrag einzeln klären",IF(COUNTIFS('Mandantenzeilen'!$D$5:$D$175,A102,'Mandantenzeilen'!$B$5:$B$175,"Hauptliste")=0,"Nur in DATEV-OPOS",IF(ABS(F102)&gt;0.01,"Abweichung zum 31.12.","Kontensaldo gleich")))</x:f>
        <x:v>Nur in DATEV-OPOS</x:v>
      </x:c>
    </x:row>
    <x:row r="103">
      <x:c r="A103" t="n">
        <x:v>10226</x:v>
      </x:c>
      <x:c r="B103" t="str">
        <x:v>Nicklas Mark 2024-290</x:v>
      </x:c>
      <x:c r="C103" s="6" t="n">
        <x:f>SUMIFS('Mandantenzeilen'!$L$5:$L$175,'Mandantenzeilen'!$D$5:$D$175,A103,'Mandantenzeilen'!$B$5:$B$175,"Hauptliste")</x:f>
        <x:v>0</x:v>
      </x:c>
      <x:c r="D103" s="6" t="n">
        <x:f>SUMIFS('Mandantenzeilen'!$M$5:$M$175,'Mandantenzeilen'!$D$5:$D$175,A103,'Mandantenzeilen'!$B$5:$B$175,"Hauptliste")</x:f>
        <x:v>0</x:v>
      </x:c>
      <x:c r="E103" s="6" t="n">
        <x:f>SUMIFS('DATEV 31.12.24'!$I$5:$I$793,'DATEV 31.12.24'!$B$5:$B$793,A103)</x:f>
        <x:v>-646</x:v>
      </x:c>
      <x:c r="F103" s="6" t="n">
        <x:f>D103-E103</x:f>
        <x:v>646</x:v>
      </x:c>
      <x:c r="G103" s="6" t="n">
        <x:f>SUMIFS('Nachtrag'!$D$5:$D$28,'Nachtrag'!$F$5:$F$28,A103)</x:f>
        <x:v>0</x:v>
      </x:c>
      <x:c r="H103" t="str">
        <x:f>IF(A103=10069,"2023-Sammelbetrag einzeln klären",IF(COUNTIFS('Mandantenzeilen'!$D$5:$D$175,A103,'Mandantenzeilen'!$B$5:$B$175,"Hauptliste")=0,"Nur in DATEV-OPOS",IF(ABS(F103)&gt;0.01,"Abweichung zum 31.12.","Kontensaldo gleich")))</x:f>
        <x:v>Nur in DATEV-OPOS</x:v>
      </x:c>
    </x:row>
    <x:row r="104">
      <x:c r="A104" t="n">
        <x:v>10227</x:v>
      </x:c>
      <x:c r="B104" t="str">
        <x:v>Martinez Fernandez Eva Maria 2024-291</x:v>
      </x:c>
      <x:c r="C104" s="6" t="n">
        <x:f>SUMIFS('Mandantenzeilen'!$L$5:$L$175,'Mandantenzeilen'!$D$5:$D$175,A104,'Mandantenzeilen'!$B$5:$B$175,"Hauptliste")</x:f>
        <x:v>0</x:v>
      </x:c>
      <x:c r="D104" s="6" t="n">
        <x:f>SUMIFS('Mandantenzeilen'!$M$5:$M$175,'Mandantenzeilen'!$D$5:$D$175,A104,'Mandantenzeilen'!$B$5:$B$175,"Hauptliste")</x:f>
        <x:v>0</x:v>
      </x:c>
      <x:c r="E104" s="6" t="n">
        <x:f>SUMIFS('DATEV 31.12.24'!$I$5:$I$793,'DATEV 31.12.24'!$B$5:$B$793,A104)</x:f>
        <x:v>-9490</x:v>
      </x:c>
      <x:c r="F104" s="6" t="n">
        <x:f>D104-E104</x:f>
        <x:v>9490</x:v>
      </x:c>
      <x:c r="G104" s="6" t="n">
        <x:f>SUMIFS('Nachtrag'!$D$5:$D$28,'Nachtrag'!$F$5:$F$28,A104)</x:f>
        <x:v>0</x:v>
      </x:c>
      <x:c r="H104" t="str">
        <x:f>IF(A104=10069,"2023-Sammelbetrag einzeln klären",IF(COUNTIFS('Mandantenzeilen'!$D$5:$D$175,A104,'Mandantenzeilen'!$B$5:$B$175,"Hauptliste")=0,"Nur in DATEV-OPOS",IF(ABS(F104)&gt;0.01,"Abweichung zum 31.12.","Kontensaldo gleich")))</x:f>
        <x:v>Nur in DATEV-OPOS</x:v>
      </x:c>
    </x:row>
    <x:row r="105">
      <x:c r="A105" t="n">
        <x:v>10228</x:v>
      </x:c>
      <x:c r="B105" t="str">
        <x:v>Vincent Romeo Rosing</x:v>
      </x:c>
      <x:c r="C105" s="6" t="n">
        <x:f>SUMIFS('Mandantenzeilen'!$L$5:$L$175,'Mandantenzeilen'!$D$5:$D$175,A105,'Mandantenzeilen'!$B$5:$B$175,"Hauptliste")</x:f>
        <x:v>0</x:v>
      </x:c>
      <x:c r="D105" s="6" t="n">
        <x:f>SUMIFS('Mandantenzeilen'!$M$5:$M$175,'Mandantenzeilen'!$D$5:$D$175,A105,'Mandantenzeilen'!$B$5:$B$175,"Hauptliste")</x:f>
        <x:v>0</x:v>
      </x:c>
      <x:c r="E105" s="6" t="n">
        <x:f>SUMIFS('DATEV 31.12.24'!$I$5:$I$793,'DATEV 31.12.24'!$B$5:$B$793,A105)</x:f>
        <x:v>924.3</x:v>
      </x:c>
      <x:c r="F105" s="6" t="n">
        <x:f>D105-E105</x:f>
        <x:v>-924.3</x:v>
      </x:c>
      <x:c r="G105" s="6" t="n">
        <x:f>SUMIFS('Nachtrag'!$D$5:$D$28,'Nachtrag'!$F$5:$F$28,A105)</x:f>
        <x:v>0</x:v>
      </x:c>
      <x:c r="H105" t="str">
        <x:f>IF(A105=10069,"2023-Sammelbetrag einzeln klären",IF(COUNTIFS('Mandantenzeilen'!$D$5:$D$175,A105,'Mandantenzeilen'!$B$5:$B$175,"Hauptliste")=0,"Nur in DATEV-OPOS",IF(ABS(F105)&gt;0.01,"Abweichung zum 31.12.","Kontensaldo gleich")))</x:f>
        <x:v>Nur in DATEV-OPOS</x:v>
      </x:c>
    </x:row>
    <x:row r="106">
      <x:c r="A106" t="n">
        <x:v>10300</x:v>
      </x:c>
      <x:c r="B106" t="str">
        <x:v>droste-nöser galapagos inseln</x:v>
      </x:c>
      <x:c r="C106" s="6" t="n">
        <x:f>SUMIFS('Mandantenzeilen'!$L$5:$L$175,'Mandantenzeilen'!$D$5:$D$175,A106,'Mandantenzeilen'!$B$5:$B$175,"Hauptliste")</x:f>
        <x:v>0</x:v>
      </x:c>
      <x:c r="D106" s="6" t="n">
        <x:f>SUMIFS('Mandantenzeilen'!$M$5:$M$175,'Mandantenzeilen'!$D$5:$D$175,A106,'Mandantenzeilen'!$B$5:$B$175,"Hauptliste")</x:f>
        <x:v>0</x:v>
      </x:c>
      <x:c r="E106" s="6" t="n">
        <x:f>SUMIFS('DATEV 31.12.24'!$I$5:$I$793,'DATEV 31.12.24'!$B$5:$B$793,A106)</x:f>
        <x:v>2755</x:v>
      </x:c>
      <x:c r="F106" s="6" t="n">
        <x:f>D106-E106</x:f>
        <x:v>-2755</x:v>
      </x:c>
      <x:c r="G106" s="6" t="n">
        <x:f>SUMIFS('Nachtrag'!$D$5:$D$28,'Nachtrag'!$F$5:$F$28,A106)</x:f>
        <x:v>0</x:v>
      </x:c>
      <x:c r="H106" t="str">
        <x:f>IF(A106=10069,"2023-Sammelbetrag einzeln klären",IF(COUNTIFS('Mandantenzeilen'!$D$5:$D$175,A106,'Mandantenzeilen'!$B$5:$B$175,"Hauptliste")=0,"Nur in DATEV-OPOS",IF(ABS(F106)&gt;0.01,"Abweichung zum 31.12.","Kontensaldo gleich")))</x:f>
        <x:v>Nur in DATEV-OPOS</x:v>
      </x:c>
    </x:row>
    <x:row r="107">
      <x:c r="A107" t="n">
        <x:v>10400</x:v>
      </x:c>
      <x:c r="B107" t="str">
        <x:v>ebeling r ckerstattung</x:v>
      </x:c>
      <x:c r="C107" s="6" t="n">
        <x:f>SUMIFS('Mandantenzeilen'!$L$5:$L$175,'Mandantenzeilen'!$D$5:$D$175,A107,'Mandantenzeilen'!$B$5:$B$175,"Hauptliste")</x:f>
        <x:v>0</x:v>
      </x:c>
      <x:c r="D107" s="6" t="n">
        <x:f>SUMIFS('Mandantenzeilen'!$M$5:$M$175,'Mandantenzeilen'!$D$5:$D$175,A107,'Mandantenzeilen'!$B$5:$B$175,"Hauptliste")</x:f>
        <x:v>0</x:v>
      </x:c>
      <x:c r="E107" s="6" t="n">
        <x:f>SUMIFS('DATEV 31.12.24'!$I$5:$I$793,'DATEV 31.12.24'!$B$5:$B$793,A107)</x:f>
        <x:v>1727.9999999999998</x:v>
      </x:c>
      <x:c r="F107" s="6" t="n">
        <x:f>D107-E107</x:f>
        <x:v>-1727.9999999999998</x:v>
      </x:c>
      <x:c r="G107" s="6" t="n">
        <x:f>SUMIFS('Nachtrag'!$D$5:$D$28,'Nachtrag'!$F$5:$F$28,A107)</x:f>
        <x:v>0</x:v>
      </x:c>
      <x:c r="H107" t="str">
        <x:f>IF(A107=10069,"2023-Sammelbetrag einzeln klären",IF(COUNTIFS('Mandantenzeilen'!$D$5:$D$175,A107,'Mandantenzeilen'!$B$5:$B$175,"Hauptliste")=0,"Nur in DATEV-OPOS",IF(ABS(F107)&gt;0.01,"Abweichung zum 31.12.","Kontensaldo gleich")))</x:f>
        <x:v>Nur in DATEV-OPOS</x:v>
      </x:c>
    </x:row>
    <x:row r="108">
      <x:c r="A108" t="n">
        <x:v>10500</x:v>
      </x:c>
      <x:c r="B108" t="str">
        <x:v>franke</x:v>
      </x:c>
      <x:c r="C108" s="6" t="n">
        <x:f>SUMIFS('Mandantenzeilen'!$L$5:$L$175,'Mandantenzeilen'!$D$5:$D$175,A108,'Mandantenzeilen'!$B$5:$B$175,"Hauptliste")</x:f>
        <x:v>0</x:v>
      </x:c>
      <x:c r="D108" s="6" t="n">
        <x:f>SUMIFS('Mandantenzeilen'!$M$5:$M$175,'Mandantenzeilen'!$D$5:$D$175,A108,'Mandantenzeilen'!$B$5:$B$175,"Hauptliste")</x:f>
        <x:v>0</x:v>
      </x:c>
      <x:c r="E108" s="6" t="n">
        <x:f>SUMIFS('DATEV 31.12.24'!$I$5:$I$793,'DATEV 31.12.24'!$B$5:$B$793,A108)</x:f>
        <x:v>1506</x:v>
      </x:c>
      <x:c r="F108" s="6" t="n">
        <x:f>D108-E108</x:f>
        <x:v>-1506</x:v>
      </x:c>
      <x:c r="G108" s="6" t="n">
        <x:f>SUMIFS('Nachtrag'!$D$5:$D$28,'Nachtrag'!$F$5:$F$28,A108)</x:f>
        <x:v>0</x:v>
      </x:c>
      <x:c r="H108" t="str">
        <x:f>IF(A108=10069,"2023-Sammelbetrag einzeln klären",IF(COUNTIFS('Mandantenzeilen'!$D$5:$D$175,A108,'Mandantenzeilen'!$B$5:$B$175,"Hauptliste")=0,"Nur in DATEV-OPOS",IF(ABS(F108)&gt;0.01,"Abweichung zum 31.12.","Kontensaldo gleich")))</x:f>
        <x:v>Nur in DATEV-OPOS</x:v>
      </x:c>
    </x:row>
    <x:row r="109">
      <x:c r="A109" t="n">
        <x:v>10600</x:v>
      </x:c>
      <x:c r="B109" t="str">
        <x:v>gruber</x:v>
      </x:c>
      <x:c r="C109" s="6" t="n">
        <x:f>SUMIFS('Mandantenzeilen'!$L$5:$L$175,'Mandantenzeilen'!$D$5:$D$175,A109,'Mandantenzeilen'!$B$5:$B$175,"Hauptliste")</x:f>
        <x:v>0</x:v>
      </x:c>
      <x:c r="D109" s="6" t="n">
        <x:f>SUMIFS('Mandantenzeilen'!$M$5:$M$175,'Mandantenzeilen'!$D$5:$D$175,A109,'Mandantenzeilen'!$B$5:$B$175,"Hauptliste")</x:f>
        <x:v>0</x:v>
      </x:c>
      <x:c r="E109" s="6" t="n">
        <x:f>SUMIFS('DATEV 31.12.24'!$I$5:$I$793,'DATEV 31.12.24'!$B$5:$B$793,A109)</x:f>
        <x:v>6313.000000000001</x:v>
      </x:c>
      <x:c r="F109" s="6" t="n">
        <x:f>D109-E109</x:f>
        <x:v>-6313.000000000001</x:v>
      </x:c>
      <x:c r="G109" s="6" t="n">
        <x:f>SUMIFS('Nachtrag'!$D$5:$D$28,'Nachtrag'!$F$5:$F$28,A109)</x:f>
        <x:v>0</x:v>
      </x:c>
      <x:c r="H109" t="str">
        <x:f>IF(A109=10069,"2023-Sammelbetrag einzeln klären",IF(COUNTIFS('Mandantenzeilen'!$D$5:$D$175,A109,'Mandantenzeilen'!$B$5:$B$175,"Hauptliste")=0,"Nur in DATEV-OPOS",IF(ABS(F109)&gt;0.01,"Abweichung zum 31.12.","Kontensaldo gleich")))</x:f>
        <x:v>Nur in DATEV-OPOS</x:v>
      </x:c>
    </x:row>
    <x:row r="110">
      <x:c r="A110" t="n">
        <x:v>10700</x:v>
      </x:c>
      <x:c r="B110" t="str">
        <x:v>halian</x:v>
      </x:c>
      <x:c r="C110" s="6" t="n">
        <x:f>SUMIFS('Mandantenzeilen'!$L$5:$L$175,'Mandantenzeilen'!$D$5:$D$175,A110,'Mandantenzeilen'!$B$5:$B$175,"Hauptliste")</x:f>
        <x:v>0</x:v>
      </x:c>
      <x:c r="D110" s="6" t="n">
        <x:f>SUMIFS('Mandantenzeilen'!$M$5:$M$175,'Mandantenzeilen'!$D$5:$D$175,A110,'Mandantenzeilen'!$B$5:$B$175,"Hauptliste")</x:f>
        <x:v>0</x:v>
      </x:c>
      <x:c r="E110" s="6" t="n">
        <x:f>SUMIFS('DATEV 31.12.24'!$I$5:$I$793,'DATEV 31.12.24'!$B$5:$B$793,A110)</x:f>
        <x:v>-930.95</x:v>
      </x:c>
      <x:c r="F110" s="6" t="n">
        <x:f>D110-E110</x:f>
        <x:v>930.95</x:v>
      </x:c>
      <x:c r="G110" s="6" t="n">
        <x:f>SUMIFS('Nachtrag'!$D$5:$D$28,'Nachtrag'!$F$5:$F$28,A110)</x:f>
        <x:v>0</x:v>
      </x:c>
      <x:c r="H110" t="str">
        <x:f>IF(A110=10069,"2023-Sammelbetrag einzeln klären",IF(COUNTIFS('Mandantenzeilen'!$D$5:$D$175,A110,'Mandantenzeilen'!$B$5:$B$175,"Hauptliste")=0,"Nur in DATEV-OPOS",IF(ABS(F110)&gt;0.01,"Abweichung zum 31.12.","Kontensaldo gleich")))</x:f>
        <x:v>Nur in DATEV-OPOS</x:v>
      </x:c>
    </x:row>
    <x:row r="111">
      <x:c r="A111" t="n">
        <x:v>10800</x:v>
      </x:c>
      <x:c r="B111" t="str">
        <x:v>isern costa rica</x:v>
      </x:c>
      <x:c r="C111" s="6" t="n">
        <x:f>SUMIFS('Mandantenzeilen'!$L$5:$L$175,'Mandantenzeilen'!$D$5:$D$175,A111,'Mandantenzeilen'!$B$5:$B$175,"Hauptliste")</x:f>
        <x:v>0</x:v>
      </x:c>
      <x:c r="D111" s="6" t="n">
        <x:f>SUMIFS('Mandantenzeilen'!$M$5:$M$175,'Mandantenzeilen'!$D$5:$D$175,A111,'Mandantenzeilen'!$B$5:$B$175,"Hauptliste")</x:f>
        <x:v>0</x:v>
      </x:c>
      <x:c r="E111" s="6" t="n">
        <x:f>SUMIFS('DATEV 31.12.24'!$I$5:$I$793,'DATEV 31.12.24'!$B$5:$B$793,A111)</x:f>
        <x:v>334</x:v>
      </x:c>
      <x:c r="F111" s="6" t="n">
        <x:f>D111-E111</x:f>
        <x:v>-334</x:v>
      </x:c>
      <x:c r="G111" s="6" t="n">
        <x:f>SUMIFS('Nachtrag'!$D$5:$D$28,'Nachtrag'!$F$5:$F$28,A111)</x:f>
        <x:v>0</x:v>
      </x:c>
      <x:c r="H111" t="str">
        <x:f>IF(A111=10069,"2023-Sammelbetrag einzeln klären",IF(COUNTIFS('Mandantenzeilen'!$D$5:$D$175,A111,'Mandantenzeilen'!$B$5:$B$175,"Hauptliste")=0,"Nur in DATEV-OPOS",IF(ABS(F111)&gt;0.01,"Abweichung zum 31.12.","Kontensaldo gleich")))</x:f>
        <x:v>Nur in DATEV-OPOS</x:v>
      </x:c>
    </x:row>
    <x:row r="112">
      <x:c r="A112" t="n">
        <x:v>10900</x:v>
      </x:c>
      <x:c r="B112" t="str">
        <x:v>Larissa Jacobsen</x:v>
      </x:c>
      <x:c r="C112" s="6" t="n">
        <x:f>SUMIFS('Mandantenzeilen'!$L$5:$L$175,'Mandantenzeilen'!$D$5:$D$175,A112,'Mandantenzeilen'!$B$5:$B$175,"Hauptliste")</x:f>
        <x:v>0</x:v>
      </x:c>
      <x:c r="D112" s="6" t="n">
        <x:f>SUMIFS('Mandantenzeilen'!$M$5:$M$175,'Mandantenzeilen'!$D$5:$D$175,A112,'Mandantenzeilen'!$B$5:$B$175,"Hauptliste")</x:f>
        <x:v>0</x:v>
      </x:c>
      <x:c r="E112" s="6" t="n">
        <x:f>SUMIFS('DATEV 31.12.24'!$I$5:$I$793,'DATEV 31.12.24'!$B$5:$B$793,A112)</x:f>
        <x:v>351</x:v>
      </x:c>
      <x:c r="F112" s="6" t="n">
        <x:f>D112-E112</x:f>
        <x:v>-351</x:v>
      </x:c>
      <x:c r="G112" s="6" t="n">
        <x:f>SUMIFS('Nachtrag'!$D$5:$D$28,'Nachtrag'!$F$5:$F$28,A112)</x:f>
        <x:v>0</x:v>
      </x:c>
      <x:c r="H112" t="str">
        <x:f>IF(A112=10069,"2023-Sammelbetrag einzeln klären",IF(COUNTIFS('Mandantenzeilen'!$D$5:$D$175,A112,'Mandantenzeilen'!$B$5:$B$175,"Hauptliste")=0,"Nur in DATEV-OPOS",IF(ABS(F112)&gt;0.01,"Abweichung zum 31.12.","Kontensaldo gleich")))</x:f>
        <x:v>Nur in DATEV-OPOS</x:v>
      </x:c>
    </x:row>
    <x:row r="113">
      <x:c r="A113" t="n">
        <x:v>11000</x:v>
      </x:c>
      <x:c r="B113" t="str">
        <x:v>köhl</x:v>
      </x:c>
      <x:c r="C113" s="6" t="n">
        <x:f>SUMIFS('Mandantenzeilen'!$L$5:$L$175,'Mandantenzeilen'!$D$5:$D$175,A113,'Mandantenzeilen'!$B$5:$B$175,"Hauptliste")</x:f>
        <x:v>0</x:v>
      </x:c>
      <x:c r="D113" s="6" t="n">
        <x:f>SUMIFS('Mandantenzeilen'!$M$5:$M$175,'Mandantenzeilen'!$D$5:$D$175,A113,'Mandantenzeilen'!$B$5:$B$175,"Hauptliste")</x:f>
        <x:v>0</x:v>
      </x:c>
      <x:c r="E113" s="6" t="n">
        <x:f>SUMIFS('DATEV 31.12.24'!$I$5:$I$793,'DATEV 31.12.24'!$B$5:$B$793,A113)</x:f>
        <x:v>3599.3</x:v>
      </x:c>
      <x:c r="F113" s="6" t="n">
        <x:f>D113-E113</x:f>
        <x:v>-3599.3</x:v>
      </x:c>
      <x:c r="G113" s="6" t="n">
        <x:f>SUMIFS('Nachtrag'!$D$5:$D$28,'Nachtrag'!$F$5:$F$28,A113)</x:f>
        <x:v>0</x:v>
      </x:c>
      <x:c r="H113" t="str">
        <x:f>IF(A113=10069,"2023-Sammelbetrag einzeln klären",IF(COUNTIFS('Mandantenzeilen'!$D$5:$D$175,A113,'Mandantenzeilen'!$B$5:$B$175,"Hauptliste")=0,"Nur in DATEV-OPOS",IF(ABS(F113)&gt;0.01,"Abweichung zum 31.12.","Kontensaldo gleich")))</x:f>
        <x:v>Nur in DATEV-OPOS</x:v>
      </x:c>
    </x:row>
    <x:row r="114">
      <x:c r="A114" t="n">
        <x:v>11100</x:v>
      </x:c>
      <x:c r="B114" t="str">
        <x:v>lebel</x:v>
      </x:c>
      <x:c r="C114" s="6" t="n">
        <x:f>SUMIFS('Mandantenzeilen'!$L$5:$L$175,'Mandantenzeilen'!$D$5:$D$175,A114,'Mandantenzeilen'!$B$5:$B$175,"Hauptliste")</x:f>
        <x:v>0</x:v>
      </x:c>
      <x:c r="D114" s="6" t="n">
        <x:f>SUMIFS('Mandantenzeilen'!$M$5:$M$175,'Mandantenzeilen'!$D$5:$D$175,A114,'Mandantenzeilen'!$B$5:$B$175,"Hauptliste")</x:f>
        <x:v>0</x:v>
      </x:c>
      <x:c r="E114" s="6" t="n">
        <x:f>SUMIFS('DATEV 31.12.24'!$I$5:$I$793,'DATEV 31.12.24'!$B$5:$B$793,A114)</x:f>
        <x:v>3792</x:v>
      </x:c>
      <x:c r="F114" s="6" t="n">
        <x:f>D114-E114</x:f>
        <x:v>-3792</x:v>
      </x:c>
      <x:c r="G114" s="6" t="n">
        <x:f>SUMIFS('Nachtrag'!$D$5:$D$28,'Nachtrag'!$F$5:$F$28,A114)</x:f>
        <x:v>0</x:v>
      </x:c>
      <x:c r="H114" t="str">
        <x:f>IF(A114=10069,"2023-Sammelbetrag einzeln klären",IF(COUNTIFS('Mandantenzeilen'!$D$5:$D$175,A114,'Mandantenzeilen'!$B$5:$B$175,"Hauptliste")=0,"Nur in DATEV-OPOS",IF(ABS(F114)&gt;0.01,"Abweichung zum 31.12.","Kontensaldo gleich")))</x:f>
        <x:v>Nur in DATEV-OPOS</x:v>
      </x:c>
    </x:row>
    <x:row r="115">
      <x:c r="A115" t="n">
        <x:v>11200</x:v>
      </x:c>
      <x:c r="B115" t="str">
        <x:v>menzel</x:v>
      </x:c>
      <x:c r="C115" s="6" t="n">
        <x:f>SUMIFS('Mandantenzeilen'!$L$5:$L$175,'Mandantenzeilen'!$D$5:$D$175,A115,'Mandantenzeilen'!$B$5:$B$175,"Hauptliste")</x:f>
        <x:v>0</x:v>
      </x:c>
      <x:c r="D115" s="6" t="n">
        <x:f>SUMIFS('Mandantenzeilen'!$M$5:$M$175,'Mandantenzeilen'!$D$5:$D$175,A115,'Mandantenzeilen'!$B$5:$B$175,"Hauptliste")</x:f>
        <x:v>0</x:v>
      </x:c>
      <x:c r="E115" s="6" t="n">
        <x:f>SUMIFS('DATEV 31.12.24'!$I$5:$I$793,'DATEV 31.12.24'!$B$5:$B$793,A115)</x:f>
        <x:v>3155.869999999999</x:v>
      </x:c>
      <x:c r="F115" s="6" t="n">
        <x:f>D115-E115</x:f>
        <x:v>-3155.869999999999</x:v>
      </x:c>
      <x:c r="G115" s="6" t="n">
        <x:f>SUMIFS('Nachtrag'!$D$5:$D$28,'Nachtrag'!$F$5:$F$28,A115)</x:f>
        <x:v>0</x:v>
      </x:c>
      <x:c r="H115" t="str">
        <x:f>IF(A115=10069,"2023-Sammelbetrag einzeln klären",IF(COUNTIFS('Mandantenzeilen'!$D$5:$D$175,A115,'Mandantenzeilen'!$B$5:$B$175,"Hauptliste")=0,"Nur in DATEV-OPOS",IF(ABS(F115)&gt;0.01,"Abweichung zum 31.12.","Kontensaldo gleich")))</x:f>
        <x:v>Nur in DATEV-OPOS</x:v>
      </x:c>
    </x:row>
    <x:row r="116">
      <x:c r="A116" t="n">
        <x:v>11400</x:v>
      </x:c>
      <x:c r="B116" t="str">
        <x:v>Ourrami ecuador</x:v>
      </x:c>
      <x:c r="C116" s="6" t="n">
        <x:f>SUMIFS('Mandantenzeilen'!$L$5:$L$175,'Mandantenzeilen'!$D$5:$D$175,A116,'Mandantenzeilen'!$B$5:$B$175,"Hauptliste")</x:f>
        <x:v>0</x:v>
      </x:c>
      <x:c r="D116" s="6" t="n">
        <x:f>SUMIFS('Mandantenzeilen'!$M$5:$M$175,'Mandantenzeilen'!$D$5:$D$175,A116,'Mandantenzeilen'!$B$5:$B$175,"Hauptliste")</x:f>
        <x:v>0</x:v>
      </x:c>
      <x:c r="E116" s="6" t="n">
        <x:f>SUMIFS('DATEV 31.12.24'!$I$5:$I$793,'DATEV 31.12.24'!$B$5:$B$793,A116)</x:f>
        <x:v>706.4500000000016</x:v>
      </x:c>
      <x:c r="F116" s="6" t="n">
        <x:f>D116-E116</x:f>
        <x:v>-706.4500000000016</x:v>
      </x:c>
      <x:c r="G116" s="6" t="n">
        <x:f>SUMIFS('Nachtrag'!$D$5:$D$28,'Nachtrag'!$F$5:$F$28,A116)</x:f>
        <x:v>0</x:v>
      </x:c>
      <x:c r="H116" t="str">
        <x:f>IF(A116=10069,"2023-Sammelbetrag einzeln klären",IF(COUNTIFS('Mandantenzeilen'!$D$5:$D$175,A116,'Mandantenzeilen'!$B$5:$B$175,"Hauptliste")=0,"Nur in DATEV-OPOS",IF(ABS(F116)&gt;0.01,"Abweichung zum 31.12.","Kontensaldo gleich")))</x:f>
        <x:v>Nur in DATEV-OPOS</x:v>
      </x:c>
    </x:row>
    <x:row r="117">
      <x:c r="A117" t="n">
        <x:v>11500</x:v>
      </x:c>
      <x:c r="B117" t="str">
        <x:v>peysson</x:v>
      </x:c>
      <x:c r="C117" s="6" t="n">
        <x:f>SUMIFS('Mandantenzeilen'!$L$5:$L$175,'Mandantenzeilen'!$D$5:$D$175,A117,'Mandantenzeilen'!$B$5:$B$175,"Hauptliste")</x:f>
        <x:v>0</x:v>
      </x:c>
      <x:c r="D117" s="6" t="n">
        <x:f>SUMIFS('Mandantenzeilen'!$M$5:$M$175,'Mandantenzeilen'!$D$5:$D$175,A117,'Mandantenzeilen'!$B$5:$B$175,"Hauptliste")</x:f>
        <x:v>0</x:v>
      </x:c>
      <x:c r="E117" s="6" t="n">
        <x:f>SUMIFS('DATEV 31.12.24'!$I$5:$I$793,'DATEV 31.12.24'!$B$5:$B$793,A117)</x:f>
        <x:v>1984.250000000001</x:v>
      </x:c>
      <x:c r="F117" s="6" t="n">
        <x:f>D117-E117</x:f>
        <x:v>-1984.250000000001</x:v>
      </x:c>
      <x:c r="G117" s="6" t="n">
        <x:f>SUMIFS('Nachtrag'!$D$5:$D$28,'Nachtrag'!$F$5:$F$28,A117)</x:f>
        <x:v>0</x:v>
      </x:c>
      <x:c r="H117" t="str">
        <x:f>IF(A117=10069,"2023-Sammelbetrag einzeln klären",IF(COUNTIFS('Mandantenzeilen'!$D$5:$D$175,A117,'Mandantenzeilen'!$B$5:$B$175,"Hauptliste")=0,"Nur in DATEV-OPOS",IF(ABS(F117)&gt;0.01,"Abweichung zum 31.12.","Kontensaldo gleich")))</x:f>
        <x:v>Nur in DATEV-OPOS</x:v>
      </x:c>
    </x:row>
    <x:row r="118">
      <x:c r="A118" t="n">
        <x:v>11700</x:v>
      </x:c>
      <x:c r="B118" t="str">
        <x:v>renaudin</x:v>
      </x:c>
      <x:c r="C118" s="6" t="n">
        <x:f>SUMIFS('Mandantenzeilen'!$L$5:$L$175,'Mandantenzeilen'!$D$5:$D$175,A118,'Mandantenzeilen'!$B$5:$B$175,"Hauptliste")</x:f>
        <x:v>0</x:v>
      </x:c>
      <x:c r="D118" s="6" t="n">
        <x:f>SUMIFS('Mandantenzeilen'!$M$5:$M$175,'Mandantenzeilen'!$D$5:$D$175,A118,'Mandantenzeilen'!$B$5:$B$175,"Hauptliste")</x:f>
        <x:v>0</x:v>
      </x:c>
      <x:c r="E118" s="6" t="n">
        <x:f>SUMIFS('DATEV 31.12.24'!$I$5:$I$793,'DATEV 31.12.24'!$B$5:$B$793,A118)</x:f>
        <x:v>1690.3000000000006</x:v>
      </x:c>
      <x:c r="F118" s="6" t="n">
        <x:f>D118-E118</x:f>
        <x:v>-1690.3000000000006</x:v>
      </x:c>
      <x:c r="G118" s="6" t="n">
        <x:f>SUMIFS('Nachtrag'!$D$5:$D$28,'Nachtrag'!$F$5:$F$28,A118)</x:f>
        <x:v>0</x:v>
      </x:c>
      <x:c r="H118" t="str">
        <x:f>IF(A118=10069,"2023-Sammelbetrag einzeln klären",IF(COUNTIFS('Mandantenzeilen'!$D$5:$D$175,A118,'Mandantenzeilen'!$B$5:$B$175,"Hauptliste")=0,"Nur in DATEV-OPOS",IF(ABS(F118)&gt;0.01,"Abweichung zum 31.12.","Kontensaldo gleich")))</x:f>
        <x:v>Nur in DATEV-OPOS</x:v>
      </x:c>
    </x:row>
    <x:row r="119">
      <x:c r="A119" t="n">
        <x:v>11800</x:v>
      </x:c>
      <x:c r="B119" t="str">
        <x:v>sasse costa rica</x:v>
      </x:c>
      <x:c r="C119" s="6" t="n">
        <x:f>SUMIFS('Mandantenzeilen'!$L$5:$L$175,'Mandantenzeilen'!$D$5:$D$175,A119,'Mandantenzeilen'!$B$5:$B$175,"Hauptliste")</x:f>
        <x:v>0</x:v>
      </x:c>
      <x:c r="D119" s="6" t="n">
        <x:f>SUMIFS('Mandantenzeilen'!$M$5:$M$175,'Mandantenzeilen'!$D$5:$D$175,A119,'Mandantenzeilen'!$B$5:$B$175,"Hauptliste")</x:f>
        <x:v>0</x:v>
      </x:c>
      <x:c r="E119" s="6" t="n">
        <x:f>SUMIFS('DATEV 31.12.24'!$I$5:$I$793,'DATEV 31.12.24'!$B$5:$B$793,A119)</x:f>
        <x:v>251.1999999999996</x:v>
      </x:c>
      <x:c r="F119" s="6" t="n">
        <x:f>D119-E119</x:f>
        <x:v>-251.1999999999996</x:v>
      </x:c>
      <x:c r="G119" s="6" t="n">
        <x:f>SUMIFS('Nachtrag'!$D$5:$D$28,'Nachtrag'!$F$5:$F$28,A119)</x:f>
        <x:v>0</x:v>
      </x:c>
      <x:c r="H119" t="str">
        <x:f>IF(A119=10069,"2023-Sammelbetrag einzeln klären",IF(COUNTIFS('Mandantenzeilen'!$D$5:$D$175,A119,'Mandantenzeilen'!$B$5:$B$175,"Hauptliste")=0,"Nur in DATEV-OPOS",IF(ABS(F119)&gt;0.01,"Abweichung zum 31.12.","Kontensaldo gleich")))</x:f>
        <x:v>Nur in DATEV-OPOS</x:v>
      </x:c>
    </x:row>
    <x:row r="120">
      <x:c r="A120" t="n">
        <x:v>11900</x:v>
      </x:c>
      <x:c r="B120" t="str">
        <x:v>schaller</x:v>
      </x:c>
      <x:c r="C120" s="6" t="n">
        <x:f>SUMIFS('Mandantenzeilen'!$L$5:$L$175,'Mandantenzeilen'!$D$5:$D$175,A120,'Mandantenzeilen'!$B$5:$B$175,"Hauptliste")</x:f>
        <x:v>0</x:v>
      </x:c>
      <x:c r="D120" s="6" t="n">
        <x:f>SUMIFS('Mandantenzeilen'!$M$5:$M$175,'Mandantenzeilen'!$D$5:$D$175,A120,'Mandantenzeilen'!$B$5:$B$175,"Hauptliste")</x:f>
        <x:v>0</x:v>
      </x:c>
      <x:c r="E120" s="6" t="n">
        <x:f>SUMIFS('DATEV 31.12.24'!$I$5:$I$793,'DATEV 31.12.24'!$B$5:$B$793,A120)</x:f>
        <x:v>-450.3999999999978</x:v>
      </x:c>
      <x:c r="F120" s="6" t="n">
        <x:f>D120-E120</x:f>
        <x:v>450.3999999999978</x:v>
      </x:c>
      <x:c r="G120" s="6" t="n">
        <x:f>SUMIFS('Nachtrag'!$D$5:$D$28,'Nachtrag'!$F$5:$F$28,A120)</x:f>
        <x:v>0</x:v>
      </x:c>
      <x:c r="H120" t="str">
        <x:f>IF(A120=10069,"2023-Sammelbetrag einzeln klären",IF(COUNTIFS('Mandantenzeilen'!$D$5:$D$175,A120,'Mandantenzeilen'!$B$5:$B$175,"Hauptliste")=0,"Nur in DATEV-OPOS",IF(ABS(F120)&gt;0.01,"Abweichung zum 31.12.","Kontensaldo gleich")))</x:f>
        <x:v>Nur in DATEV-OPOS</x:v>
      </x:c>
    </x:row>
    <x:row r="121">
      <x:c r="A121" t="n">
        <x:v>12000</x:v>
      </x:c>
      <x:c r="B121" t="str">
        <x:v>stec</x:v>
      </x:c>
      <x:c r="C121" s="6" t="n">
        <x:f>SUMIFS('Mandantenzeilen'!$L$5:$L$175,'Mandantenzeilen'!$D$5:$D$175,A121,'Mandantenzeilen'!$B$5:$B$175,"Hauptliste")</x:f>
        <x:v>0</x:v>
      </x:c>
      <x:c r="D121" s="6" t="n">
        <x:f>SUMIFS('Mandantenzeilen'!$M$5:$M$175,'Mandantenzeilen'!$D$5:$D$175,A121,'Mandantenzeilen'!$B$5:$B$175,"Hauptliste")</x:f>
        <x:v>0</x:v>
      </x:c>
      <x:c r="E121" s="6" t="n">
        <x:f>SUMIFS('DATEV 31.12.24'!$I$5:$I$793,'DATEV 31.12.24'!$B$5:$B$793,A121)</x:f>
        <x:v>7615.799999999999</x:v>
      </x:c>
      <x:c r="F121" s="6" t="n">
        <x:f>D121-E121</x:f>
        <x:v>-7615.799999999999</x:v>
      </x:c>
      <x:c r="G121" s="6" t="n">
        <x:f>SUMIFS('Nachtrag'!$D$5:$D$28,'Nachtrag'!$F$5:$F$28,A121)</x:f>
        <x:v>0</x:v>
      </x:c>
      <x:c r="H121" t="str">
        <x:f>IF(A121=10069,"2023-Sammelbetrag einzeln klären",IF(COUNTIFS('Mandantenzeilen'!$D$5:$D$175,A121,'Mandantenzeilen'!$B$5:$B$175,"Hauptliste")=0,"Nur in DATEV-OPOS",IF(ABS(F121)&gt;0.01,"Abweichung zum 31.12.","Kontensaldo gleich")))</x:f>
        <x:v>Nur in DATEV-OPOS</x:v>
      </x:c>
    </x:row>
    <x:row r="122">
      <x:c r="A122" t="n">
        <x:v>12100</x:v>
      </x:c>
      <x:c r="B122" t="str">
        <x:v>trumm costa rica</x:v>
      </x:c>
      <x:c r="C122" s="6" t="n">
        <x:f>SUMIFS('Mandantenzeilen'!$L$5:$L$175,'Mandantenzeilen'!$D$5:$D$175,A122,'Mandantenzeilen'!$B$5:$B$175,"Hauptliste")</x:f>
        <x:v>0</x:v>
      </x:c>
      <x:c r="D122" s="6" t="n">
        <x:f>SUMIFS('Mandantenzeilen'!$M$5:$M$175,'Mandantenzeilen'!$D$5:$D$175,A122,'Mandantenzeilen'!$B$5:$B$175,"Hauptliste")</x:f>
        <x:v>0</x:v>
      </x:c>
      <x:c r="E122" s="6" t="n">
        <x:f>SUMIFS('DATEV 31.12.24'!$I$5:$I$793,'DATEV 31.12.24'!$B$5:$B$793,A122)</x:f>
        <x:v>2640</x:v>
      </x:c>
      <x:c r="F122" s="6" t="n">
        <x:f>D122-E122</x:f>
        <x:v>-2640</x:v>
      </x:c>
      <x:c r="G122" s="6" t="n">
        <x:f>SUMIFS('Nachtrag'!$D$5:$D$28,'Nachtrag'!$F$5:$F$28,A122)</x:f>
        <x:v>0</x:v>
      </x:c>
      <x:c r="H122" t="str">
        <x:f>IF(A122=10069,"2023-Sammelbetrag einzeln klären",IF(COUNTIFS('Mandantenzeilen'!$D$5:$D$175,A122,'Mandantenzeilen'!$B$5:$B$175,"Hauptliste")=0,"Nur in DATEV-OPOS",IF(ABS(F122)&gt;0.01,"Abweichung zum 31.12.","Kontensaldo gleich")))</x:f>
        <x:v>Nur in DATEV-OPOS</x:v>
      </x:c>
    </x:row>
    <x:row r="123">
      <x:c r="A123" t="n">
        <x:v>12300</x:v>
      </x:c>
      <x:c r="B123" t="str">
        <x:v>Voß, Costa Rica</x:v>
      </x:c>
      <x:c r="C123" s="6" t="n">
        <x:f>SUMIFS('Mandantenzeilen'!$L$5:$L$175,'Mandantenzeilen'!$D$5:$D$175,A123,'Mandantenzeilen'!$B$5:$B$175,"Hauptliste")</x:f>
        <x:v>0</x:v>
      </x:c>
      <x:c r="D123" s="6" t="n">
        <x:f>SUMIFS('Mandantenzeilen'!$M$5:$M$175,'Mandantenzeilen'!$D$5:$D$175,A123,'Mandantenzeilen'!$B$5:$B$175,"Hauptliste")</x:f>
        <x:v>0</x:v>
      </x:c>
      <x:c r="E123" s="6" t="n">
        <x:f>SUMIFS('DATEV 31.12.24'!$I$5:$I$793,'DATEV 31.12.24'!$B$5:$B$793,A123)</x:f>
        <x:v>1973.7999999999993</x:v>
      </x:c>
      <x:c r="F123" s="6" t="n">
        <x:f>D123-E123</x:f>
        <x:v>-1973.7999999999993</x:v>
      </x:c>
      <x:c r="G123" s="6" t="n">
        <x:f>SUMIFS('Nachtrag'!$D$5:$D$28,'Nachtrag'!$F$5:$F$28,A123)</x:f>
        <x:v>0</x:v>
      </x:c>
      <x:c r="H123" t="str">
        <x:f>IF(A123=10069,"2023-Sammelbetrag einzeln klären",IF(COUNTIFS('Mandantenzeilen'!$D$5:$D$175,A123,'Mandantenzeilen'!$B$5:$B$175,"Hauptliste")=0,"Nur in DATEV-OPOS",IF(ABS(F123)&gt;0.01,"Abweichung zum 31.12.","Kontensaldo gleich")))</x:f>
        <x:v>Nur in DATEV-OPOS</x:v>
      </x:c>
    </x:row>
    <x:row r="124">
      <x:c r="A124" t="n">
        <x:v>12400</x:v>
      </x:c>
      <x:c r="B124" t="str">
        <x:v>wittmann</x:v>
      </x:c>
      <x:c r="C124" s="6" t="n">
        <x:f>SUMIFS('Mandantenzeilen'!$L$5:$L$175,'Mandantenzeilen'!$D$5:$D$175,A124,'Mandantenzeilen'!$B$5:$B$175,"Hauptliste")</x:f>
        <x:v>0</x:v>
      </x:c>
      <x:c r="D124" s="6" t="n">
        <x:f>SUMIFS('Mandantenzeilen'!$M$5:$M$175,'Mandantenzeilen'!$D$5:$D$175,A124,'Mandantenzeilen'!$B$5:$B$175,"Hauptliste")</x:f>
        <x:v>0</x:v>
      </x:c>
      <x:c r="E124" s="6" t="n">
        <x:f>SUMIFS('DATEV 31.12.24'!$I$5:$I$793,'DATEV 31.12.24'!$B$5:$B$793,A124)</x:f>
        <x:v>11932.849999999997</x:v>
      </x:c>
      <x:c r="F124" s="6" t="n">
        <x:f>D124-E124</x:f>
        <x:v>-11932.849999999997</x:v>
      </x:c>
      <x:c r="G124" s="6" t="n">
        <x:f>SUMIFS('Nachtrag'!$D$5:$D$28,'Nachtrag'!$F$5:$F$28,A124)</x:f>
        <x:v>0</x:v>
      </x:c>
      <x:c r="H124" t="str">
        <x:f>IF(A124=10069,"2023-Sammelbetrag einzeln klären",IF(COUNTIFS('Mandantenzeilen'!$D$5:$D$175,A124,'Mandantenzeilen'!$B$5:$B$175,"Hauptliste")=0,"Nur in DATEV-OPOS",IF(ABS(F124)&gt;0.01,"Abweichung zum 31.12.","Kontensaldo gleich")))</x:f>
        <x:v>Nur in DATEV-OPOS</x:v>
      </x:c>
    </x:row>
    <x:row r="125">
      <x:c r="A125" t="n">
        <x:v>12700</x:v>
      </x:c>
      <x:c r="B125" t="str">
        <x:v>Zeini, Costa Rica</x:v>
      </x:c>
      <x:c r="C125" s="6" t="n">
        <x:f>SUMIFS('Mandantenzeilen'!$L$5:$L$175,'Mandantenzeilen'!$D$5:$D$175,A125,'Mandantenzeilen'!$B$5:$B$175,"Hauptliste")</x:f>
        <x:v>0</x:v>
      </x:c>
      <x:c r="D125" s="6" t="n">
        <x:f>SUMIFS('Mandantenzeilen'!$M$5:$M$175,'Mandantenzeilen'!$D$5:$D$175,A125,'Mandantenzeilen'!$B$5:$B$175,"Hauptliste")</x:f>
        <x:v>0</x:v>
      </x:c>
      <x:c r="E125" s="6" t="n">
        <x:f>SUMIFS('DATEV 31.12.24'!$I$5:$I$793,'DATEV 31.12.24'!$B$5:$B$793,A125)</x:f>
        <x:v>3979</x:v>
      </x:c>
      <x:c r="F125" s="6" t="n">
        <x:f>D125-E125</x:f>
        <x:v>-3979</x:v>
      </x:c>
      <x:c r="G125" s="6" t="n">
        <x:f>SUMIFS('Nachtrag'!$D$5:$D$28,'Nachtrag'!$F$5:$F$28,A125)</x:f>
        <x:v>0</x:v>
      </x:c>
      <x:c r="H125" t="str">
        <x:f>IF(A125=10069,"2023-Sammelbetrag einzeln klären",IF(COUNTIFS('Mandantenzeilen'!$D$5:$D$175,A125,'Mandantenzeilen'!$B$5:$B$175,"Hauptliste")=0,"Nur in DATEV-OPOS",IF(ABS(F125)&gt;0.01,"Abweichung zum 31.12.","Kontensaldo gleich")))</x:f>
        <x:v>Nur in DATEV-OPOS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1" hidden="0" customWidth="1"/>
    <x:col min="4" max="4" width="17" hidden="0" customWidth="1"/>
    <x:col min="5" max="5" width="17" hidden="0" customWidth="1"/>
    <x:col min="6" max="6" width="21" hidden="0" customWidth="1"/>
    <x:col min="7" max="7" width="46" hidden="0" customWidth="1"/>
    <x:col min="8" max="8" width="57" hidden="0" customWidth="1"/>
    <x:col min="9" max="9" width="22" hidden="0" customWidth="1"/>
    <x:col min="10" max="10" width="18" hidden="0" customWidth="1"/>
  </x:cols>
  <x:sheetData>
    <x:row r="1">
      <x:c r="A1" s="2" t="str">
        <x:v>Quelle: dieselbe Jamso-Debitorenaufstellung, Zeilen 201–224 unterhalb der alten Summenzeile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 t="str">
        <x:v>Rechnungstreffer sind Vorschläge; Bankbeleg und Zahler müssen für die Auszifferung geprüft werden.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0" customHeight="1">
      <x:c r="A4" s="4" t="str">
        <x:v>Quellzeile</x:v>
      </x:c>
      <x:c r="B4" s="4" t="str">
        <x:v>Name / Zahler</x:v>
      </x:c>
      <x:c r="C4" s="4" t="str">
        <x:v>RE-Nr. zugeordnet</x:v>
      </x:c>
      <x:c r="D4" s="4" t="str">
        <x:v>Zahlung</x:v>
      </x:c>
      <x:c r="E4" s="4" t="str">
        <x:v>Datum</x:v>
      </x:c>
      <x:c r="F4" s="4" t="str">
        <x:v>DATEV-Konto Vorschlag</x:v>
      </x:c>
      <x:c r="G4" s="4" t="str">
        <x:v>Trefferqualität</x:v>
      </x:c>
      <x:c r="H4" s="4" t="str">
        <x:v>Hinweis</x:v>
      </x:c>
      <x:c r="I4" s="4" t="str">
        <x:v>2025-Folgerechnung</x:v>
      </x:c>
      <x:c r="J4" s="4" t="str">
        <x:v>2025-Betrag laut Liste</x:v>
      </x:c>
      <x:c r="K4" s="2"/>
      <x:c r="L4" s="2"/>
      <x:c r="M4" s="2"/>
      <x:c r="N4" s="2"/>
    </x:row>
    <x:row r="5">
      <x:c r="A5" s="2" t="n">
        <x:v>201</x:v>
      </x:c>
      <x:c r="B5" s="2" t="str">
        <x:v>Bauer</x:v>
      </x:c>
      <x:c r="C5" s="2" t="str">
        <x:v>2024-356</x:v>
      </x:c>
      <x:c r="D5" s="5" t="n">
        <x:v>2592</x:v>
      </x:c>
      <x:c r="E5" s="7" t="n">
        <x:v>45688.5</x:v>
      </x:c>
      <x:c r="F5" s="2"/>
      <x:c r="G5" s="2" t="str">
        <x:v>Kontokonflikt DATEV/Aufteilung</x:v>
      </x:c>
      <x:c r="H5" s="2" t="str">
        <x:v>Kontokonflikt: DATEV 10215, Aufteilung 10125.</x:v>
      </x:c>
      <x:c r="I5" s="2" t="str">
        <x:v>2025-281</x:v>
      </x:c>
      <x:c r="J5" s="5" t="n">
        <x:v>2592</x:v>
      </x:c>
      <x:c r="K5" s="2"/>
      <x:c r="L5" s="2"/>
      <x:c r="M5" s="2"/>
      <x:c r="N5" s="2"/>
    </x:row>
    <x:row r="6">
      <x:c r="A6" s="2" t="n">
        <x:v>202</x:v>
      </x:c>
      <x:c r="B6" s="2" t="str">
        <x:v>Emily Beker</x:v>
      </x:c>
      <x:c r="C6" s="2" t="str">
        <x:v>2024-323</x:v>
      </x:c>
      <x:c r="D6" s="5" t="n">
        <x:v>2110</x:v>
      </x:c>
      <x:c r="E6" s="7" t="n">
        <x:v>45688.5</x:v>
      </x:c>
      <x:c r="F6" s="2" t="n">
        <x:v>10195</x:v>
      </x:c>
      <x:c r="G6" s="2" t="str">
        <x:v>Aufteilung 2024/25: Zahlungszweck prüfen</x:v>
      </x:c>
      <x:c r="H6" s="2" t="str"/>
      <x:c r="I6" s="2" t="str">
        <x:v>2025-272</x:v>
      </x:c>
      <x:c r="J6" s="5" t="n">
        <x:v>8440</x:v>
      </x:c>
      <x:c r="K6" s="2"/>
      <x:c r="L6" s="2"/>
      <x:c r="M6" s="2"/>
      <x:c r="N6" s="2"/>
    </x:row>
    <x:row r="7">
      <x:c r="A7" s="2" t="n">
        <x:v>203</x:v>
      </x:c>
      <x:c r="B7" s="2" t="str">
        <x:v>Amelie Magdalena Grawe</x:v>
      </x:c>
      <x:c r="C7" s="2" t="str">
        <x:v>2024-311</x:v>
      </x:c>
      <x:c r="D7" s="5" t="n">
        <x:v>504</x:v>
      </x:c>
      <x:c r="E7" s="7" t="n">
        <x:v>45807.5</x:v>
      </x:c>
      <x:c r="F7" s="2" t="n">
        <x:v>10187</x:v>
      </x:c>
      <x:c r="G7" s="2" t="str">
        <x:v>Aufteilung 2024/25: Zahlungszweck prüfen</x:v>
      </x:c>
      <x:c r="H7" s="2" t="str"/>
      <x:c r="I7" s="2" t="str">
        <x:v>2025-271</x:v>
      </x:c>
      <x:c r="J7" s="5" t="n">
        <x:v>1008</x:v>
      </x:c>
      <x:c r="K7" s="2"/>
      <x:c r="L7" s="2"/>
      <x:c r="M7" s="2"/>
      <x:c r="N7" s="2"/>
    </x:row>
    <x:row r="8">
      <x:c r="A8" s="2" t="n">
        <x:v>204</x:v>
      </x:c>
      <x:c r="B8" s="2" t="str">
        <x:v>Neomi Holenstein</x:v>
      </x:c>
      <x:c r="C8" s="2" t="str">
        <x:v>2024-335</x:v>
      </x:c>
      <x:c r="D8" s="5" t="n">
        <x:v>2169</x:v>
      </x:c>
      <x:c r="E8" s="7" t="n">
        <x:v>45747.5</x:v>
      </x:c>
      <x:c r="F8" s="2" t="n">
        <x:v>10203</x:v>
      </x:c>
      <x:c r="G8" s="2" t="str">
        <x:v>Aufteilung 2024/25: Zahlungszweck prüfen</x:v>
      </x:c>
      <x:c r="H8" s="2" t="str"/>
      <x:c r="I8" s="2" t="str">
        <x:v>2025-275</x:v>
      </x:c>
      <x:c r="J8" s="5" t="n">
        <x:v>8676</x:v>
      </x:c>
      <x:c r="K8" s="2"/>
      <x:c r="L8" s="2"/>
      <x:c r="M8" s="2"/>
      <x:c r="N8" s="2"/>
    </x:row>
    <x:row r="9">
      <x:c r="A9" s="2" t="n">
        <x:v>205</x:v>
      </x:c>
      <x:c r="B9" s="2" t="str">
        <x:v>Neomi Holenstein</x:v>
      </x:c>
      <x:c r="C9" s="2" t="str">
        <x:v>2024-335</x:v>
      </x:c>
      <x:c r="D9" s="5" t="n">
        <x:v>6507</x:v>
      </x:c>
      <x:c r="E9" s="7" t="n">
        <x:v>45828.5</x:v>
      </x:c>
      <x:c r="F9" s="2" t="n">
        <x:v>10203</x:v>
      </x:c>
      <x:c r="G9" s="2" t="str">
        <x:v>Aufteilung 2024/25: Zahlungszweck prüfen</x:v>
      </x:c>
      <x:c r="H9" s="2" t="str"/>
      <x:c r="I9" s="2" t="str">
        <x:v>2025-275</x:v>
      </x:c>
      <x:c r="J9" s="5" t="n">
        <x:v>8676</x:v>
      </x:c>
      <x:c r="K9" s="2"/>
      <x:c r="L9" s="2"/>
      <x:c r="M9" s="2"/>
      <x:c r="N9" s="2"/>
    </x:row>
    <x:row r="10">
      <x:c r="A10" s="2" t="n">
        <x:v>206</x:v>
      </x:c>
      <x:c r="B10" s="2" t="str">
        <x:v>Jankowiak Mila</x:v>
      </x:c>
      <x:c r="C10" s="2" t="str">
        <x:v>2024-307</x:v>
      </x:c>
      <x:c r="D10" s="5" t="n">
        <x:v>5000</x:v>
      </x:c>
      <x:c r="E10" s="7" t="n">
        <x:v>45839.5</x:v>
      </x:c>
      <x:c r="F10" s="2" t="n">
        <x:v>10184</x:v>
      </x:c>
      <x:c r="G10" s="2" t="str">
        <x:v>Aufteilung 2024/25: Zahlungszweck prüfen</x:v>
      </x:c>
      <x:c r="H10" s="2" t="str"/>
      <x:c r="I10" s="2" t="str">
        <x:v>2025-270</x:v>
      </x:c>
      <x:c r="J10" s="5" t="n">
        <x:v>8880</x:v>
      </x:c>
      <x:c r="K10" s="2"/>
      <x:c r="L10" s="2"/>
      <x:c r="M10" s="2"/>
      <x:c r="N10" s="2"/>
    </x:row>
    <x:row r="11">
      <x:c r="A11" s="2" t="n">
        <x:v>207</x:v>
      </x:c>
      <x:c r="B11" s="2" t="str">
        <x:v>Jankowiak Mila</x:v>
      </x:c>
      <x:c r="C11" s="2" t="str">
        <x:v>2024-307</x:v>
      </x:c>
      <x:c r="D11" s="5" t="n">
        <x:v>2200</x:v>
      </x:c>
      <x:c r="E11" s="7" t="n">
        <x:v>45839.5</x:v>
      </x:c>
      <x:c r="F11" s="2" t="n">
        <x:v>10184</x:v>
      </x:c>
      <x:c r="G11" s="2" t="str">
        <x:v>Aufteilung 2024/25: Zahlungszweck prüfen</x:v>
      </x:c>
      <x:c r="H11" s="2" t="str"/>
      <x:c r="I11" s="2" t="str">
        <x:v>2025-270</x:v>
      </x:c>
      <x:c r="J11" s="5" t="n">
        <x:v>8880</x:v>
      </x:c>
      <x:c r="K11" s="2"/>
      <x:c r="L11" s="2"/>
      <x:c r="M11" s="2"/>
      <x:c r="N11" s="2"/>
    </x:row>
    <x:row r="12">
      <x:c r="A12" s="2" t="n">
        <x:v>208</x:v>
      </x:c>
      <x:c r="B12" s="2" t="str">
        <x:v>Jankowiak Mila</x:v>
      </x:c>
      <x:c r="C12" s="2" t="str">
        <x:v>2024-307</x:v>
      </x:c>
      <x:c r="D12" s="5" t="n">
        <x:v>1700</x:v>
      </x:c>
      <x:c r="E12" s="7" t="n">
        <x:v>45839.5</x:v>
      </x:c>
      <x:c r="F12" s="2" t="n">
        <x:v>10184</x:v>
      </x:c>
      <x:c r="G12" s="2" t="str">
        <x:v>Aufteilung 2024/25: Zahlungszweck prüfen</x:v>
      </x:c>
      <x:c r="H12" s="2" t="str"/>
      <x:c r="I12" s="2" t="str">
        <x:v>2025-270</x:v>
      </x:c>
      <x:c r="J12" s="5" t="n">
        <x:v>8880</x:v>
      </x:c>
      <x:c r="K12" s="2"/>
      <x:c r="L12" s="2"/>
      <x:c r="M12" s="2"/>
      <x:c r="N12" s="2"/>
    </x:row>
    <x:row r="13">
      <x:c r="A13" s="2" t="n">
        <x:v>209</x:v>
      </x:c>
      <x:c r="B13" s="2" t="str">
        <x:v>Jung</x:v>
      </x:c>
      <x:c r="C13" s="2" t="str">
        <x:v>2024-344</x:v>
      </x:c>
      <x:c r="D13" s="5" t="n">
        <x:v>5079.2</x:v>
      </x:c>
      <x:c r="E13" s="7" t="n">
        <x:v>45912.5</x:v>
      </x:c>
      <x:c r="F13" s="2" t="n">
        <x:v>10208</x:v>
      </x:c>
      <x:c r="G13" s="2" t="str">
        <x:v>Aufteilung 2024/25: Zahlungszweck prüfen</x:v>
      </x:c>
      <x:c r="H13" s="2" t="str"/>
      <x:c r="I13" s="2" t="str">
        <x:v>2025-276</x:v>
      </x:c>
      <x:c r="J13" s="5" t="n">
        <x:v>5079.2</x:v>
      </x:c>
      <x:c r="K13" s="2"/>
      <x:c r="L13" s="2"/>
      <x:c r="M13" s="2"/>
      <x:c r="N13" s="2"/>
    </x:row>
    <x:row r="14">
      <x:c r="A14" s="2" t="n">
        <x:v>210</x:v>
      </x:c>
      <x:c r="B14" s="2" t="str">
        <x:v>Liebmann</x:v>
      </x:c>
      <x:c r="C14" s="2" t="str">
        <x:v>2024-360</x:v>
      </x:c>
      <x:c r="D14" s="5" t="n">
        <x:v>1620</x:v>
      </x:c>
      <x:c r="E14" s="7" t="n">
        <x:v>45670.5</x:v>
      </x:c>
      <x:c r="F14" s="2" t="n">
        <x:v>10218</x:v>
      </x:c>
      <x:c r="G14" s="2" t="str">
        <x:v>Aufteilung 2024/25: Zahlungszweck prüfen</x:v>
      </x:c>
      <x:c r="H14" s="2" t="str"/>
      <x:c r="I14" s="2" t="str">
        <x:v>2025-283</x:v>
      </x:c>
      <x:c r="J14" s="5" t="n">
        <x:v>8100</x:v>
      </x:c>
      <x:c r="K14" s="2"/>
      <x:c r="L14" s="2"/>
      <x:c r="M14" s="2"/>
      <x:c r="N14" s="2"/>
    </x:row>
    <x:row r="15">
      <x:c r="A15" s="2" t="n">
        <x:v>211</x:v>
      </x:c>
      <x:c r="B15" s="2" t="str">
        <x:v>Liebmann</x:v>
      </x:c>
      <x:c r="C15" s="2" t="str">
        <x:v>2024-360</x:v>
      </x:c>
      <x:c r="D15" s="5" t="n">
        <x:v>4860</x:v>
      </x:c>
      <x:c r="E15" s="7" t="n">
        <x:v>45838.5</x:v>
      </x:c>
      <x:c r="F15" s="2" t="n">
        <x:v>10218</x:v>
      </x:c>
      <x:c r="G15" s="2" t="str">
        <x:v>Aufteilung 2024/25: Zahlungszweck prüfen</x:v>
      </x:c>
      <x:c r="H15" s="2" t="str"/>
      <x:c r="I15" s="2" t="str">
        <x:v>2025-283</x:v>
      </x:c>
      <x:c r="J15" s="5" t="n">
        <x:v>8100</x:v>
      </x:c>
      <x:c r="K15" s="2"/>
      <x:c r="L15" s="2"/>
      <x:c r="M15" s="2"/>
      <x:c r="N15" s="2"/>
    </x:row>
    <x:row r="16">
      <x:c r="A16" s="2" t="n">
        <x:v>212</x:v>
      </x:c>
      <x:c r="B16" s="2" t="str">
        <x:v>Sonja Leiner 2024-306</x:v>
      </x:c>
      <x:c r="C16" s="2" t="str">
        <x:v>2024-306</x:v>
      </x:c>
      <x:c r="D16" s="5" t="n">
        <x:v>976</x:v>
      </x:c>
      <x:c r="E16" s="7" t="n">
        <x:v>45729.5</x:v>
      </x:c>
      <x:c r="F16" s="2" t="n">
        <x:v>10183</x:v>
      </x:c>
      <x:c r="G16" s="2" t="str">
        <x:v>Aufteilung 2024/25: Zahlungszweck prüfen</x:v>
      </x:c>
      <x:c r="H16" s="2" t="str"/>
      <x:c r="I16" s="2" t="str">
        <x:v>2025-269</x:v>
      </x:c>
      <x:c r="J16" s="5" t="n">
        <x:v>976</x:v>
      </x:c>
      <x:c r="K16" s="2"/>
      <x:c r="L16" s="2"/>
      <x:c r="M16" s="2"/>
      <x:c r="N16" s="2"/>
    </x:row>
    <x:row r="17">
      <x:c r="A17" s="2" t="n">
        <x:v>213</x:v>
      </x:c>
      <x:c r="B17" s="2" t="str">
        <x:v>Harriet Lumley</x:v>
      </x:c>
      <x:c r="C17" s="2" t="str">
        <x:v>2024-213</x:v>
      </x:c>
      <x:c r="D17" s="5" t="n">
        <x:v>2905.6</x:v>
      </x:c>
      <x:c r="E17" s="7" t="n">
        <x:v>45742.5</x:v>
      </x:c>
      <x:c r="F17" s="2" t="n">
        <x:v>10104</x:v>
      </x:c>
      <x:c r="G17" s="2" t="str">
        <x:v>Aufteilung 2024/25: Zahlungszweck prüfen</x:v>
      </x:c>
      <x:c r="H17" s="2" t="str"/>
      <x:c r="I17" s="2" t="str">
        <x:v>2025-259</x:v>
      </x:c>
      <x:c r="J17" s="5" t="n">
        <x:v>3632</x:v>
      </x:c>
      <x:c r="K17" s="2"/>
      <x:c r="L17" s="2"/>
      <x:c r="M17" s="2"/>
      <x:c r="N17" s="2"/>
    </x:row>
    <x:row r="18">
      <x:c r="A18" s="2" t="n">
        <x:v>214</x:v>
      </x:c>
      <x:c r="B18" s="2" t="str">
        <x:v>Mertens Nicole </x:v>
      </x:c>
      <x:c r="C18" s="2" t="str">
        <x:v>2024-353</x:v>
      </x:c>
      <x:c r="D18" s="5" t="n">
        <x:v>435.2</x:v>
      </x:c>
      <x:c r="E18" s="7" t="n">
        <x:v>45723.5</x:v>
      </x:c>
      <x:c r="F18" s="2" t="n">
        <x:v>10212</x:v>
      </x:c>
      <x:c r="G18" s="2" t="str">
        <x:v>Aufteilung 2024/25: Zahlungszweck prüfen</x:v>
      </x:c>
      <x:c r="H18" s="2" t="str"/>
      <x:c r="I18" s="2" t="str">
        <x:v>2025-280</x:v>
      </x:c>
      <x:c r="J18" s="5" t="n">
        <x:v>435.2</x:v>
      </x:c>
      <x:c r="K18" s="2"/>
      <x:c r="L18" s="2"/>
      <x:c r="M18" s="2"/>
      <x:c r="N18" s="2"/>
    </x:row>
    <x:row r="19">
      <x:c r="A19" s="2" t="n">
        <x:v>215</x:v>
      </x:c>
      <x:c r="B19" s="2" t="str">
        <x:v>Marxkos </x:v>
      </x:c>
      <x:c r="C19" s="2" t="str">
        <x:v>2024-048</x:v>
      </x:c>
      <x:c r="D19" s="5" t="n">
        <x:v>1160</x:v>
      </x:c>
      <x:c r="E19" s="7" t="n">
        <x:v>45807.5</x:v>
      </x:c>
      <x:c r="F19" s="2"/>
      <x:c r="G19" s="2" t="str">
        <x:v>Kein DATEV-Rechnungstreffer</x:v>
      </x:c>
      <x:c r="H19" s="2" t="str"/>
      <x:c r="I19" s="2" t="str"/>
      <x:c r="J19" s="5"/>
      <x:c r="K19" s="2"/>
      <x:c r="L19" s="2"/>
      <x:c r="M19" s="2"/>
      <x:c r="N19" s="2"/>
    </x:row>
    <x:row r="20">
      <x:c r="A20" s="2" t="n">
        <x:v>216</x:v>
      </x:c>
      <x:c r="B20" s="2" t="str">
        <x:v>Matzke Philipp</x:v>
      </x:c>
      <x:c r="C20" s="2" t="str">
        <x:v>2024-334</x:v>
      </x:c>
      <x:c r="D20" s="5" t="n">
        <x:v>6608</x:v>
      </x:c>
      <x:c r="E20" s="7" t="n">
        <x:v>45821.5</x:v>
      </x:c>
      <x:c r="F20" s="2" t="n">
        <x:v>10202</x:v>
      </x:c>
      <x:c r="G20" s="2" t="str">
        <x:v>Aufteilung 2024/25: Zahlungszweck prüfen</x:v>
      </x:c>
      <x:c r="H20" s="2" t="str"/>
      <x:c r="I20" s="2" t="str">
        <x:v>2025-274</x:v>
      </x:c>
      <x:c r="J20" s="5" t="n">
        <x:v>6608</x:v>
      </x:c>
      <x:c r="K20" s="2"/>
      <x:c r="L20" s="2"/>
      <x:c r="M20" s="2"/>
      <x:c r="N20" s="2"/>
    </x:row>
    <x:row r="21">
      <x:c r="A21" t="n">
        <x:v>217</x:v>
      </x:c>
      <x:c r="B21" t="str">
        <x:v>Noll </x:v>
      </x:c>
      <x:c r="C21" t="str">
        <x:v>2024-361</x:v>
      </x:c>
      <x:c r="D21" s="6" t="n">
        <x:v>770</x:v>
      </x:c>
      <x:c r="E21" s="8" t="n">
        <x:v>45659.5</x:v>
      </x:c>
      <x:c r="F21" t="n">
        <x:v>10219</x:v>
      </x:c>
      <x:c r="G21" t="str">
        <x:v>Aufteilung 2024/25: Zahlungszweck prüfen</x:v>
      </x:c>
      <x:c r="H21" t="str"/>
      <x:c r="I21" t="str">
        <x:v>2025-284</x:v>
      </x:c>
      <x:c r="J21" s="6" t="n">
        <x:v>3850</x:v>
      </x:c>
    </x:row>
    <x:row r="22">
      <x:c r="A22" t="n">
        <x:v>218</x:v>
      </x:c>
      <x:c r="B22" t="str">
        <x:v>Noll </x:v>
      </x:c>
      <x:c r="C22" t="str">
        <x:v>2024-361</x:v>
      </x:c>
      <x:c r="D22" s="6" t="n">
        <x:v>3080</x:v>
      </x:c>
      <x:c r="E22" s="8" t="n">
        <x:v>45832.5</x:v>
      </x:c>
      <x:c r="F22" t="n">
        <x:v>10219</x:v>
      </x:c>
      <x:c r="G22" t="str">
        <x:v>Aufteilung 2024/25: Zahlungszweck prüfen</x:v>
      </x:c>
      <x:c r="H22" t="str"/>
      <x:c r="I22" t="str">
        <x:v>2025-284</x:v>
      </x:c>
      <x:c r="J22" s="6" t="n">
        <x:v>3850</x:v>
      </x:c>
    </x:row>
    <x:row r="23">
      <x:c r="A23" t="n">
        <x:v>219</x:v>
      </x:c>
      <x:c r="B23" t="str">
        <x:v>Sophie Schindler</x:v>
      </x:c>
      <x:c r="C23" t="str">
        <x:v>2024-281</x:v>
      </x:c>
      <x:c r="D23" s="6" t="n">
        <x:v>2031.2</x:v>
      </x:c>
      <x:c r="E23" s="8" t="n">
        <x:v>45799.5</x:v>
      </x:c>
      <x:c r="F23" t="n">
        <x:v>10160</x:v>
      </x:c>
      <x:c r="G23" t="str">
        <x:v>Aufteilung 2024/25: Zahlungszweck prüfen</x:v>
      </x:c>
      <x:c r="H23" t="str"/>
      <x:c r="I23" t="str">
        <x:v>2025-264</x:v>
      </x:c>
      <x:c r="J23" s="6" t="n">
        <x:v>2031.2</x:v>
      </x:c>
    </x:row>
    <x:row r="24">
      <x:c r="A24" t="n">
        <x:v>220</x:v>
      </x:c>
      <x:c r="B24" t="str">
        <x:v>Julian Schupp </x:v>
      </x:c>
      <x:c r="C24" t="str">
        <x:v>2024-348</x:v>
      </x:c>
      <x:c r="D24" s="6" t="n">
        <x:v>2776</x:v>
      </x:c>
      <x:c r="E24" s="8" t="n">
        <x:v>45807.5</x:v>
      </x:c>
      <x:c r="F24" t="n">
        <x:v>10211</x:v>
      </x:c>
      <x:c r="G24" t="str">
        <x:v>Aufteilung 2024/25: Zahlungszweck prüfen</x:v>
      </x:c>
      <x:c r="H24" t="str"/>
      <x:c r="I24" t="str">
        <x:v>2025-279</x:v>
      </x:c>
      <x:c r="J24" s="6" t="n">
        <x:v>2766</x:v>
      </x:c>
    </x:row>
    <x:row r="25">
      <x:c r="A25" t="n">
        <x:v>221</x:v>
      </x:c>
      <x:c r="B25" t="str">
        <x:v>Schuster</x:v>
      </x:c>
      <x:c r="C25" t="str">
        <x:v>2024-041</x:v>
      </x:c>
      <x:c r="D25" s="6" t="n">
        <x:v>1088</x:v>
      </x:c>
      <x:c r="E25" s="8" t="n">
        <x:v>45839.5</x:v>
      </x:c>
      <x:c r="F25"/>
      <x:c r="G25" t="str">
        <x:v>Kein DATEV-Rechnungstreffer</x:v>
      </x:c>
      <x:c r="H25" t="str"/>
      <x:c r="I25" t="str"/>
      <x:c r="J25" s="6"/>
    </x:row>
    <x:row r="26">
      <x:c r="A26" t="n">
        <x:v>222</x:v>
      </x:c>
      <x:c r="B26" t="str">
        <x:v>Emma van Bever</x:v>
      </x:c>
      <x:c r="C26" t="str">
        <x:v>2024-293</x:v>
      </x:c>
      <x:c r="D26" s="6" t="n">
        <x:v>255</x:v>
      </x:c>
      <x:c r="E26" s="8" t="n">
        <x:v>45684.5</x:v>
      </x:c>
      <x:c r="F26" t="n">
        <x:v>10170</x:v>
      </x:c>
      <x:c r="G26" t="str">
        <x:v>Aufteilung 2024/25: Zahlungszweck prüfen</x:v>
      </x:c>
      <x:c r="H26" t="str"/>
      <x:c r="I26" t="str">
        <x:v>2025-265</x:v>
      </x:c>
      <x:c r="J26" s="6" t="n">
        <x:v>759.2</x:v>
      </x:c>
    </x:row>
    <x:row r="27">
      <x:c r="A27" t="n">
        <x:v>223</x:v>
      </x:c>
      <x:c r="B27" t="str">
        <x:v>Emilio Leon Reyes</x:v>
      </x:c>
      <x:c r="C27" t="str">
        <x:v>2024-279</x:v>
      </x:c>
      <x:c r="D27" s="6" t="n">
        <x:v>2760</x:v>
      </x:c>
      <x:c r="E27" s="8" t="n">
        <x:v>45700.5</x:v>
      </x:c>
      <x:c r="F27"/>
      <x:c r="G27" t="str">
        <x:v>Aufteilung 2024/25: Zahlungszweck prüfen</x:v>
      </x:c>
      <x:c r="H27" t="str"/>
      <x:c r="I27" t="str">
        <x:v>2025-263</x:v>
      </x:c>
      <x:c r="J27" s="6" t="n">
        <x:v>11040</x:v>
      </x:c>
    </x:row>
    <x:row r="28">
      <x:c r="A28" t="n">
        <x:v>224</x:v>
      </x:c>
      <x:c r="B28" t="str">
        <x:v>Ramona Wothe </x:v>
      </x:c>
      <x:c r="C28" t="str">
        <x:v>2024-279</x:v>
      </x:c>
      <x:c r="D28" s="6" t="n">
        <x:v>8280</x:v>
      </x:c>
      <x:c r="E28" s="8" t="n">
        <x:v>45810.5</x:v>
      </x:c>
      <x:c r="F28"/>
      <x:c r="G28" t="str">
        <x:v>Aufteilung 2024/25: Zahlungszweck prüfen</x:v>
      </x:c>
      <x:c r="H28" t="str">
        <x:v>Rechnung 2024-279 auch in Zeile 223, dort anderer Name.</x:v>
      </x:c>
      <x:c r="I28" t="str">
        <x:v>2025-263</x:v>
      </x:c>
      <x:c r="J28" s="6" t="n">
        <x:v>11040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32" hidden="0" customWidth="1"/>
    <x:col min="4" max="4" width="20" hidden="0" customWidth="1"/>
    <x:col min="5" max="5" width="17" hidden="0" customWidth="1"/>
    <x:col min="6" max="6" width="20" hidden="0" customWidth="1"/>
    <x:col min="7" max="7" width="17" hidden="0" customWidth="1"/>
    <x:col min="8" max="8" width="17" hidden="0" customWidth="1"/>
    <x:col min="9" max="9" width="72" hidden="0" customWidth="1"/>
    <x:col min="10" max="10" width="20" hidden="0" customWidth="1"/>
    <x:col min="11" max="11" width="20" hidden="0" customWidth="1"/>
  </x:cols>
  <x:sheetData>
    <x:row r="1">
      <x:c r="A1" s="2" t="str">
        <x:v>Quelle: Jamso Trainee, Aufgeteilte Rechnung 2024-2025.xlsx, Blatt „2024_2025“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 t="str">
        <x:v>E+G ist nur eine Rechensumme: 2025-Rechnung kann 2024-Anteil erneut enthalten. Originale D-Ergebnisspalte ignoriert.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0" customHeight="1">
      <x:c r="A4" s="4" t="str">
        <x:v>Quellzeile</x:v>
      </x:c>
      <x:c r="B4" s="4" t="str">
        <x:v>Debitor</x:v>
      </x:c>
      <x:c r="C4" s="4" t="str">
        <x:v>Name</x:v>
      </x:c>
      <x:c r="D4" s="4" t="str">
        <x:v>Rechnung 2024</x:v>
      </x:c>
      <x:c r="E4" s="4" t="str">
        <x:v>2024-Betrag E/F</x:v>
      </x:c>
      <x:c r="F4" s="4" t="str">
        <x:v>Rechnung 2025</x:v>
      </x:c>
      <x:c r="G4" s="4" t="str">
        <x:v>2025-Betrag H</x:v>
      </x:c>
      <x:c r="H4" s="4" t="str">
        <x:v>E+G rechnerisch</x:v>
      </x:c>
      <x:c r="I4" s="4" t="str">
        <x:v>Quellenvermerk</x:v>
      </x:c>
      <x:c r="J4" s="4" t="str">
        <x:v>Tracker-Rechnung 2024</x:v>
      </x:c>
      <x:c r="K4" s="4" t="str">
        <x:v>Differenz H−J</x:v>
      </x:c>
      <x:c r="L4" s="2"/>
      <x:c r="M4" s="2"/>
      <x:c r="N4" s="2"/>
    </x:row>
    <x:row r="5">
      <x:c r="A5" s="2" t="n">
        <x:v>4</x:v>
      </x:c>
      <x:c r="B5" s="2" t="n">
        <x:v>10100</x:v>
      </x:c>
      <x:c r="C5" s="2" t="str">
        <x:v>Sara Scholtz</x:v>
      </x:c>
      <x:c r="D5" s="2" t="str">
        <x:v>2024-207</x:v>
      </x:c>
      <x:c r="E5" s="5" t="n">
        <x:v>3020</x:v>
      </x:c>
      <x:c r="F5" s="2" t="str">
        <x:v>2025-258</x:v>
      </x:c>
      <x:c r="G5" s="5" t="n">
        <x:v>12080</x:v>
      </x:c>
      <x:c r="H5" s="5" t="n">
        <x:f>E5+G5</x:f>
        <x:v>15100</x:v>
      </x:c>
      <x:c r="I5" s="2" t="str"/>
      <x:c r="J5" s="5" t="n">
        <x:v>15100</x:v>
      </x:c>
      <x:c r="K5" s="5" t="n">
        <x:f>IF(ISNUMBER(J5),H5-J5,"")</x:f>
        <x:v>0</x:v>
      </x:c>
      <x:c r="L5" s="2"/>
      <x:c r="M5" s="2"/>
      <x:c r="N5" s="2"/>
    </x:row>
    <x:row r="6">
      <x:c r="A6" s="2" t="n">
        <x:v>5</x:v>
      </x:c>
      <x:c r="B6" s="2" t="n">
        <x:v>10104</x:v>
      </x:c>
      <x:c r="C6" s="2" t="str">
        <x:v>Harriet Lumley</x:v>
      </x:c>
      <x:c r="D6" s="2" t="str">
        <x:v>2024-213</x:v>
      </x:c>
      <x:c r="E6" s="5" t="n">
        <x:v>726.4</x:v>
      </x:c>
      <x:c r="F6" s="2" t="str">
        <x:v>2025-259</x:v>
      </x:c>
      <x:c r="G6" s="5" t="n">
        <x:v>3632</x:v>
      </x:c>
      <x:c r="H6" s="5" t="n">
        <x:f>E6+G6</x:f>
        <x:v>4358.4</x:v>
      </x:c>
      <x:c r="I6" s="2" t="str"/>
      <x:c r="J6" s="5" t="n">
        <x:v>3632</x:v>
      </x:c>
      <x:c r="K6" s="5" t="n">
        <x:f>IF(ISNUMBER(J6),H6-J6,"")</x:f>
        <x:v>726.3999999999996</x:v>
      </x:c>
      <x:c r="L6" s="2"/>
      <x:c r="M6" s="2"/>
      <x:c r="N6" s="2"/>
    </x:row>
    <x:row r="7">
      <x:c r="A7" s="2" t="n">
        <x:v>6</x:v>
      </x:c>
      <x:c r="B7" s="2" t="n">
        <x:v>10135</x:v>
      </x:c>
      <x:c r="C7" s="2" t="str">
        <x:v>Frieda Christina Niegel</x:v>
      </x:c>
      <x:c r="D7" s="2" t="str">
        <x:v>2024-251</x:v>
      </x:c>
      <x:c r="E7" s="5" t="n">
        <x:v>3280</x:v>
      </x:c>
      <x:c r="F7" s="2" t="str">
        <x:v>2025-260</x:v>
      </x:c>
      <x:c r="G7" s="5" t="n">
        <x:v>13120</x:v>
      </x:c>
      <x:c r="H7" s="5" t="n">
        <x:f>E7+G7</x:f>
        <x:v>16400</x:v>
      </x:c>
      <x:c r="I7" s="2" t="str">
        <x:v>Storniert in 2025</x:v>
      </x:c>
      <x:c r="J7" s="5" t="n">
        <x:v>16400</x:v>
      </x:c>
      <x:c r="K7" s="5" t="n">
        <x:f>IF(ISNUMBER(J7),H7-J7,"")</x:f>
        <x:v>0</x:v>
      </x:c>
      <x:c r="L7" s="2"/>
      <x:c r="M7" s="2"/>
      <x:c r="N7" s="2"/>
    </x:row>
    <x:row r="8">
      <x:c r="A8" s="2" t="n">
        <x:v>7</x:v>
      </x:c>
      <x:c r="B8" s="2" t="n">
        <x:v>10137</x:v>
      </x:c>
      <x:c r="C8" s="2" t="str">
        <x:v>Emmy Schäfer</x:v>
      </x:c>
      <x:c r="D8" s="2" t="str">
        <x:v>2024-253</x:v>
      </x:c>
      <x:c r="E8" s="5" t="n">
        <x:v>1980</x:v>
      </x:c>
      <x:c r="F8" s="2" t="str">
        <x:v>2025-261</x:v>
      </x:c>
      <x:c r="G8" s="5" t="n">
        <x:v>7920</x:v>
      </x:c>
      <x:c r="H8" s="5" t="n">
        <x:f>E8+G8</x:f>
        <x:v>9900</x:v>
      </x:c>
      <x:c r="I8" s="2" t="str"/>
      <x:c r="J8" s="5" t="n">
        <x:v>9900</x:v>
      </x:c>
      <x:c r="K8" s="5" t="n">
        <x:f>IF(ISNUMBER(J8),H8-J8,"")</x:f>
        <x:v>0</x:v>
      </x:c>
      <x:c r="L8" s="2"/>
      <x:c r="M8" s="2"/>
      <x:c r="N8" s="2"/>
    </x:row>
    <x:row r="9">
      <x:c r="A9" s="2" t="n">
        <x:v>8</x:v>
      </x:c>
      <x:c r="B9" s="2" t="n">
        <x:v>10146</x:v>
      </x:c>
      <x:c r="C9" s="2" t="str">
        <x:v>Alexandria Tokarzk</x:v>
      </x:c>
      <x:c r="D9" s="2" t="str">
        <x:v>2024-264</x:v>
      </x:c>
      <x:c r="E9" s="5" t="n">
        <x:v>318.8</x:v>
      </x:c>
      <x:c r="F9" s="2" t="str">
        <x:v>2025-262</x:v>
      </x:c>
      <x:c r="G9" s="5" t="n">
        <x:v>1594</x:v>
      </x:c>
      <x:c r="H9" s="5" t="n">
        <x:f>E9+G9</x:f>
        <x:v>1912.8</x:v>
      </x:c>
      <x:c r="I9" s="2" t="str"/>
      <x:c r="J9" s="5" t="n">
        <x:v>1594</x:v>
      </x:c>
      <x:c r="K9" s="5" t="n">
        <x:f>IF(ISNUMBER(J9),H9-J9,"")</x:f>
        <x:v>318.79999999999995</x:v>
      </x:c>
      <x:c r="L9" s="2"/>
      <x:c r="M9" s="2"/>
      <x:c r="N9" s="2"/>
    </x:row>
    <x:row r="10">
      <x:c r="A10" s="2" t="n">
        <x:v>9</x:v>
      </x:c>
      <x:c r="B10" s="2" t="n">
        <x:v>10159</x:v>
      </x:c>
      <x:c r="C10" s="2" t="str">
        <x:v>Emilio Leon Reyes</x:v>
      </x:c>
      <x:c r="D10" s="2" t="str">
        <x:v>2024-279</x:v>
      </x:c>
      <x:c r="E10" s="5" t="n">
        <x:v>2760</x:v>
      </x:c>
      <x:c r="F10" s="2" t="str">
        <x:v>2025-263</x:v>
      </x:c>
      <x:c r="G10" s="5" t="n">
        <x:v>11040</x:v>
      </x:c>
      <x:c r="H10" s="5" t="n">
        <x:f>E10+G10</x:f>
        <x:v>13800</x:v>
      </x:c>
      <x:c r="I10" s="2" t="str"/>
      <x:c r="J10" s="5" t="n">
        <x:v>13800</x:v>
      </x:c>
      <x:c r="K10" s="5" t="n">
        <x:f>IF(ISNUMBER(J10),H10-J10,"")</x:f>
        <x:v>0</x:v>
      </x:c>
      <x:c r="L10" s="2"/>
      <x:c r="M10" s="2"/>
      <x:c r="N10" s="2"/>
    </x:row>
    <x:row r="11">
      <x:c r="A11" s="2" t="n">
        <x:v>10</x:v>
      </x:c>
      <x:c r="B11" s="2" t="n">
        <x:v>10160</x:v>
      </x:c>
      <x:c r="C11" s="2" t="str">
        <x:v>Sophie Schindler</x:v>
      </x:c>
      <x:c r="D11" s="2" t="str">
        <x:v>2024-281</x:v>
      </x:c>
      <x:c r="E11" s="5" t="n">
        <x:v>507.8</x:v>
      </x:c>
      <x:c r="F11" s="2" t="str">
        <x:v>2025-264</x:v>
      </x:c>
      <x:c r="G11" s="5" t="n">
        <x:v>2031.2</x:v>
      </x:c>
      <x:c r="H11" s="5" t="n">
        <x:f>E11+G11</x:f>
        <x:v>2539</x:v>
      </x:c>
      <x:c r="I11" s="2" t="str"/>
      <x:c r="J11" s="5" t="n">
        <x:v>2539</x:v>
      </x:c>
      <x:c r="K11" s="5" t="n">
        <x:f>IF(ISNUMBER(J11),H11-J11,"")</x:f>
        <x:v>0</x:v>
      </x:c>
      <x:c r="L11" s="2"/>
      <x:c r="M11" s="2"/>
      <x:c r="N11" s="2"/>
    </x:row>
    <x:row r="12">
      <x:c r="A12" s="2" t="n">
        <x:v>11</x:v>
      </x:c>
      <x:c r="B12" s="2" t="n">
        <x:v>10170</x:v>
      </x:c>
      <x:c r="C12" s="2" t="str">
        <x:v>Emma van Bever</x:v>
      </x:c>
      <x:c r="D12" s="2" t="str">
        <x:v>2024-293</x:v>
      </x:c>
      <x:c r="E12" s="5" t="n">
        <x:v>189.8</x:v>
      </x:c>
      <x:c r="F12" s="2" t="str">
        <x:v>2025-265</x:v>
      </x:c>
      <x:c r="G12" s="5" t="n">
        <x:v>759.2</x:v>
      </x:c>
      <x:c r="H12" s="5" t="n">
        <x:f>E12+G12</x:f>
        <x:v>949</x:v>
      </x:c>
      <x:c r="I12" s="2" t="str"/>
      <x:c r="J12" s="5" t="n">
        <x:v>949</x:v>
      </x:c>
      <x:c r="K12" s="5" t="n">
        <x:f>IF(ISNUMBER(J12),H12-J12,"")</x:f>
        <x:v>0</x:v>
      </x:c>
      <x:c r="L12" s="2"/>
      <x:c r="M12" s="2"/>
      <x:c r="N12" s="2"/>
    </x:row>
    <x:row r="13">
      <x:c r="A13" s="2" t="n">
        <x:v>12</x:v>
      </x:c>
      <x:c r="B13" s="2" t="n">
        <x:v>10173</x:v>
      </x:c>
      <x:c r="C13" s="2" t="str">
        <x:v>Chiara Alisha Klein</x:v>
      </x:c>
      <x:c r="D13" s="2" t="str">
        <x:v>2024-296</x:v>
      </x:c>
      <x:c r="E13" s="5" t="n">
        <x:v>105.4</x:v>
      </x:c>
      <x:c r="F13" s="2" t="str">
        <x:v>2025-266</x:v>
      </x:c>
      <x:c r="G13" s="5" t="n">
        <x:v>421.6</x:v>
      </x:c>
      <x:c r="H13" s="5" t="n">
        <x:f>E13+G13</x:f>
        <x:v>527</x:v>
      </x:c>
      <x:c r="I13" s="2" t="str"/>
      <x:c r="J13" s="5" t="n">
        <x:v>527</x:v>
      </x:c>
      <x:c r="K13" s="5" t="n">
        <x:f>IF(ISNUMBER(J13),H13-J13,"")</x:f>
        <x:v>0</x:v>
      </x:c>
      <x:c r="L13" s="2"/>
      <x:c r="M13" s="2"/>
      <x:c r="N13" s="2"/>
    </x:row>
    <x:row r="14">
      <x:c r="A14" s="2" t="n">
        <x:v>13</x:v>
      </x:c>
      <x:c r="B14" s="2" t="n">
        <x:v>10177</x:v>
      </x:c>
      <x:c r="C14" s="2" t="str">
        <x:v>Ela Centimese</x:v>
      </x:c>
      <x:c r="D14" s="2" t="str">
        <x:v>2024-300</x:v>
      </x:c>
      <x:c r="E14" s="5" t="n">
        <x:v>513.8</x:v>
      </x:c>
      <x:c r="F14" s="2" t="str">
        <x:v>2025-267</x:v>
      </x:c>
      <x:c r="G14" s="5" t="n">
        <x:v>2055.2</x:v>
      </x:c>
      <x:c r="H14" s="5" t="n">
        <x:f>E14+G14</x:f>
        <x:v>2569</x:v>
      </x:c>
      <x:c r="I14" s="2" t="str"/>
      <x:c r="J14" s="5" t="n">
        <x:v>2569</x:v>
      </x:c>
      <x:c r="K14" s="5" t="n">
        <x:f>IF(ISNUMBER(J14),H14-J14,"")</x:f>
        <x:v>0</x:v>
      </x:c>
      <x:c r="L14" s="2"/>
      <x:c r="M14" s="2"/>
      <x:c r="N14" s="2"/>
    </x:row>
    <x:row r="15">
      <x:c r="A15" s="2" t="n">
        <x:v>14</x:v>
      </x:c>
      <x:c r="B15" s="2" t="n">
        <x:v>10179</x:v>
      </x:c>
      <x:c r="C15" s="2" t="str">
        <x:v>Annika Weiß</x:v>
      </x:c>
      <x:c r="D15" s="2" t="str">
        <x:v>2024-302</x:v>
      </x:c>
      <x:c r="E15" s="5" t="n">
        <x:v>658</x:v>
      </x:c>
      <x:c r="F15" s="2" t="str">
        <x:v>2025-268</x:v>
      </x:c>
      <x:c r="G15" s="5" t="n">
        <x:v>2632</x:v>
      </x:c>
      <x:c r="H15" s="5" t="n">
        <x:f>E15+G15</x:f>
        <x:v>3290</x:v>
      </x:c>
      <x:c r="I15" s="2" t="str"/>
      <x:c r="J15" s="5" t="n">
        <x:v>3290</x:v>
      </x:c>
      <x:c r="K15" s="5" t="n">
        <x:f>IF(ISNUMBER(J15),H15-J15,"")</x:f>
        <x:v>0</x:v>
      </x:c>
      <x:c r="L15" s="2"/>
      <x:c r="M15" s="2"/>
      <x:c r="N15" s="2"/>
    </x:row>
    <x:row r="16">
      <x:c r="A16" s="2" t="n">
        <x:v>15</x:v>
      </x:c>
      <x:c r="B16" s="2" t="n">
        <x:v>10183</x:v>
      </x:c>
      <x:c r="C16" s="2" t="str">
        <x:v>Sonja Leiner</x:v>
      </x:c>
      <x:c r="D16" s="2" t="str">
        <x:v>2024-306</x:v>
      </x:c>
      <x:c r="E16" s="5" t="n">
        <x:v>244</x:v>
      </x:c>
      <x:c r="F16" s="2" t="str">
        <x:v>2025-269</x:v>
      </x:c>
      <x:c r="G16" s="5" t="n">
        <x:v>976</x:v>
      </x:c>
      <x:c r="H16" s="5" t="n">
        <x:f>E16+G16</x:f>
        <x:v>1220</x:v>
      </x:c>
      <x:c r="I16" s="2" t="str"/>
      <x:c r="J16" s="5" t="n">
        <x:v>1220</x:v>
      </x:c>
      <x:c r="K16" s="5" t="n">
        <x:f>IF(ISNUMBER(J16),H16-J16,"")</x:f>
        <x:v>0</x:v>
      </x:c>
      <x:c r="L16" s="2"/>
      <x:c r="M16" s="2"/>
      <x:c r="N16" s="2"/>
    </x:row>
    <x:row r="17">
      <x:c r="A17" s="2" t="n">
        <x:v>16</x:v>
      </x:c>
      <x:c r="B17" s="2" t="n">
        <x:v>10184</x:v>
      </x:c>
      <x:c r="C17" s="2" t="str">
        <x:v>Mila Janokowiak</x:v>
      </x:c>
      <x:c r="D17" s="2" t="str">
        <x:v>2024-307</x:v>
      </x:c>
      <x:c r="E17" s="5" t="n">
        <x:v>2220</x:v>
      </x:c>
      <x:c r="F17" s="2" t="str">
        <x:v>2025-270</x:v>
      </x:c>
      <x:c r="G17" s="5" t="n">
        <x:v>8880</x:v>
      </x:c>
      <x:c r="H17" s="5" t="n">
        <x:f>E17+G17</x:f>
        <x:v>11100</x:v>
      </x:c>
      <x:c r="I17" s="2" t="str"/>
      <x:c r="J17" s="5" t="n">
        <x:v>11100</x:v>
      </x:c>
      <x:c r="K17" s="5" t="n">
        <x:f>IF(ISNUMBER(J17),H17-J17,"")</x:f>
        <x:v>0</x:v>
      </x:c>
      <x:c r="L17" s="2"/>
      <x:c r="M17" s="2"/>
      <x:c r="N17" s="2"/>
    </x:row>
    <x:row r="18">
      <x:c r="A18" s="2" t="n">
        <x:v>17</x:v>
      </x:c>
      <x:c r="B18" s="2" t="n">
        <x:v>10187</x:v>
      </x:c>
      <x:c r="C18" s="2" t="str">
        <x:v>Amelie Grawe</x:v>
      </x:c>
      <x:c r="D18" s="2" t="str">
        <x:v>2024-311</x:v>
      </x:c>
      <x:c r="E18" s="5" t="n">
        <x:v>252</x:v>
      </x:c>
      <x:c r="F18" s="2" t="str">
        <x:v>2025-271</x:v>
      </x:c>
      <x:c r="G18" s="5" t="n">
        <x:v>1008</x:v>
      </x:c>
      <x:c r="H18" s="5" t="n">
        <x:f>E18+G18</x:f>
        <x:v>1260</x:v>
      </x:c>
      <x:c r="I18" s="2" t="str"/>
      <x:c r="J18" s="5" t="n">
        <x:v>1260</x:v>
      </x:c>
      <x:c r="K18" s="5" t="n">
        <x:f>IF(ISNUMBER(J18),H18-J18,"")</x:f>
        <x:v>0</x:v>
      </x:c>
      <x:c r="L18" s="2"/>
      <x:c r="M18" s="2"/>
      <x:c r="N18" s="2"/>
    </x:row>
    <x:row r="19">
      <x:c r="A19" s="2" t="n">
        <x:v>18</x:v>
      </x:c>
      <x:c r="B19" s="2" t="n">
        <x:v>10195</x:v>
      </x:c>
      <x:c r="C19" s="2" t="str">
        <x:v>Emily Becker</x:v>
      </x:c>
      <x:c r="D19" s="2" t="str">
        <x:v>2024-323</x:v>
      </x:c>
      <x:c r="E19" s="5" t="n">
        <x:v>2110</x:v>
      </x:c>
      <x:c r="F19" s="2" t="str">
        <x:v>2025-272</x:v>
      </x:c>
      <x:c r="G19" s="5" t="n">
        <x:v>8440</x:v>
      </x:c>
      <x:c r="H19" s="5" t="n">
        <x:f>E19+G19</x:f>
        <x:v>10550</x:v>
      </x:c>
      <x:c r="I19" s="2" t="str"/>
      <x:c r="J19" s="5" t="n">
        <x:v>10550</x:v>
      </x:c>
      <x:c r="K19" s="5" t="n">
        <x:f>IF(ISNUMBER(J19),H19-J19,"")</x:f>
        <x:v>0</x:v>
      </x:c>
      <x:c r="L19" s="2"/>
      <x:c r="M19" s="2"/>
      <x:c r="N19" s="2"/>
    </x:row>
    <x:row r="20">
      <x:c r="A20" s="2" t="n">
        <x:v>19</x:v>
      </x:c>
      <x:c r="B20" s="2" t="n">
        <x:v>10196</x:v>
      </x:c>
      <x:c r="C20" s="2" t="str">
        <x:v>Loane Pages</x:v>
      </x:c>
      <x:c r="D20" s="2" t="str">
        <x:v>2024-325</x:v>
      </x:c>
      <x:c r="E20" s="5" t="n">
        <x:v>0</x:v>
      </x:c>
      <x:c r="F20" s="2" t="str">
        <x:v>2025-273</x:v>
      </x:c>
      <x:c r="G20" s="5" t="n">
        <x:v>1990</x:v>
      </x:c>
      <x:c r="H20" s="5" t="n">
        <x:f>E20+G20</x:f>
        <x:v>1990</x:v>
      </x:c>
      <x:c r="I20" s="2" t="str"/>
      <x:c r="J20" s="5" t="n">
        <x:v>1990</x:v>
      </x:c>
      <x:c r="K20" s="5" t="n">
        <x:f>IF(ISNUMBER(J20),H20-J20,"")</x:f>
        <x:v>0</x:v>
      </x:c>
      <x:c r="L20" s="2"/>
      <x:c r="M20" s="2"/>
      <x:c r="N20" s="2"/>
    </x:row>
    <x:row r="21">
      <x:c r="A21" t="n">
        <x:v>20</x:v>
      </x:c>
      <x:c r="B21" t="n">
        <x:v>10202</x:v>
      </x:c>
      <x:c r="C21" t="str">
        <x:v>Lars Philipp Matzke</x:v>
      </x:c>
      <x:c r="D21" t="str">
        <x:v>2024-334</x:v>
      </x:c>
      <x:c r="E21" s="6" t="n">
        <x:v>1652</x:v>
      </x:c>
      <x:c r="F21" t="str">
        <x:v>2025-274</x:v>
      </x:c>
      <x:c r="G21" s="6" t="n">
        <x:v>6608</x:v>
      </x:c>
      <x:c r="H21" s="6" t="n">
        <x:f>E21+G21</x:f>
        <x:v>8260</x:v>
      </x:c>
      <x:c r="I21" t="str"/>
      <x:c r="J21" s="6" t="n">
        <x:v>8260</x:v>
      </x:c>
      <x:c r="K21" s="6" t="n">
        <x:f>IF(ISNUMBER(J21),H21-J21,"")</x:f>
        <x:v>0</x:v>
      </x:c>
    </x:row>
    <x:row r="22">
      <x:c r="A22" t="n">
        <x:v>21</x:v>
      </x:c>
      <x:c r="B22" t="n">
        <x:v>10203</x:v>
      </x:c>
      <x:c r="C22" t="str">
        <x:v>Noemi Talina Holenstein</x:v>
      </x:c>
      <x:c r="D22" t="str">
        <x:v>2024-335</x:v>
      </x:c>
      <x:c r="E22" s="6" t="n">
        <x:v>2169</x:v>
      </x:c>
      <x:c r="F22" t="str">
        <x:v>2025-275</x:v>
      </x:c>
      <x:c r="G22" s="6" t="n">
        <x:v>8676</x:v>
      </x:c>
      <x:c r="H22" s="6" t="n">
        <x:f>E22+G22</x:f>
        <x:v>10845</x:v>
      </x:c>
      <x:c r="I22" t="str"/>
      <x:c r="J22" s="6" t="n">
        <x:v>10845</x:v>
      </x:c>
      <x:c r="K22" s="6" t="n">
        <x:f>IF(ISNUMBER(J22),H22-J22,"")</x:f>
        <x:v>0</x:v>
      </x:c>
    </x:row>
    <x:row r="23">
      <x:c r="A23" t="n">
        <x:v>22</x:v>
      </x:c>
      <x:c r="B23" t="n">
        <x:v>10208</x:v>
      </x:c>
      <x:c r="C23" t="str">
        <x:v>Katharina Jung</x:v>
      </x:c>
      <x:c r="D23" t="str">
        <x:v>2024-344</x:v>
      </x:c>
      <x:c r="E23" s="6" t="n">
        <x:v>1269</x:v>
      </x:c>
      <x:c r="F23" t="str">
        <x:v>2025-276</x:v>
      </x:c>
      <x:c r="G23" s="6" t="n">
        <x:v>5079.2</x:v>
      </x:c>
      <x:c r="H23" s="6" t="n">
        <x:f>E23+G23</x:f>
        <x:v>6348.2</x:v>
      </x:c>
      <x:c r="I23" t="str"/>
      <x:c r="J23" s="6" t="n">
        <x:v>6349</x:v>
      </x:c>
      <x:c r="K23" s="6" t="n">
        <x:f>IF(ISNUMBER(J23),H23-J23,"")</x:f>
        <x:v>-0.8000000000001819</x:v>
      </x:c>
    </x:row>
    <x:row r="24">
      <x:c r="A24" t="n">
        <x:v>23</x:v>
      </x:c>
      <x:c r="B24" t="n">
        <x:v>10154</x:v>
      </x:c>
      <x:c r="C24" t="str">
        <x:v>Aleksei Tkachenko</x:v>
      </x:c>
      <x:c r="D24" t="str">
        <x:v>2024-347</x:v>
      </x:c>
      <x:c r="E24" s="6" t="n">
        <x:v>136</x:v>
      </x:c>
      <x:c r="F24" t="str">
        <x:v>2025-278</x:v>
      </x:c>
      <x:c r="G24" s="6" t="n">
        <x:v>544</x:v>
      </x:c>
      <x:c r="H24" s="6" t="n">
        <x:f>E24+G24</x:f>
        <x:v>680</x:v>
      </x:c>
      <x:c r="I24" t="str"/>
      <x:c r="J24" s="6" t="n">
        <x:v>680</x:v>
      </x:c>
      <x:c r="K24" s="6" t="n">
        <x:f>IF(ISNUMBER(J24),H24-J24,"")</x:f>
        <x:v>0</x:v>
      </x:c>
    </x:row>
    <x:row r="25">
      <x:c r="A25" t="n">
        <x:v>24</x:v>
      </x:c>
      <x:c r="B25" t="n">
        <x:v>10211</x:v>
      </x:c>
      <x:c r="C25" t="str">
        <x:v>Julian Schupp</x:v>
      </x:c>
      <x:c r="D25" t="str">
        <x:v>2024-348</x:v>
      </x:c>
      <x:c r="E25" s="6" t="n">
        <x:v>694</x:v>
      </x:c>
      <x:c r="F25" t="str">
        <x:v>2025-279</x:v>
      </x:c>
      <x:c r="G25" s="6" t="n">
        <x:v>2766</x:v>
      </x:c>
      <x:c r="H25" s="6" t="n">
        <x:f>E25+G25</x:f>
        <x:v>3460</x:v>
      </x:c>
      <x:c r="I25" t="str"/>
      <x:c r="J25" s="6" t="n">
        <x:v>3470</x:v>
      </x:c>
      <x:c r="K25" s="6" t="n">
        <x:f>IF(ISNUMBER(J25),H25-J25,"")</x:f>
        <x:v>-10</x:v>
      </x:c>
    </x:row>
    <x:row r="26">
      <x:c r="A26" t="n">
        <x:v>25</x:v>
      </x:c>
      <x:c r="B26" t="n">
        <x:v>10212</x:v>
      </x:c>
      <x:c r="C26" t="str">
        <x:v>Constantin Mertens</x:v>
      </x:c>
      <x:c r="D26" t="str">
        <x:v>2024-353</x:v>
      </x:c>
      <x:c r="E26" s="6" t="n">
        <x:v>108.8</x:v>
      </x:c>
      <x:c r="F26" t="str">
        <x:v>2025-280</x:v>
      </x:c>
      <x:c r="G26" s="6" t="n">
        <x:v>435.2</x:v>
      </x:c>
      <x:c r="H26" s="6" t="n">
        <x:f>E26+G26</x:f>
        <x:v>544</x:v>
      </x:c>
      <x:c r="I26" t="str"/>
      <x:c r="J26" s="6" t="n">
        <x:v>544</x:v>
      </x:c>
      <x:c r="K26" s="6" t="n">
        <x:f>IF(ISNUMBER(J26),H26-J26,"")</x:f>
        <x:v>0</x:v>
      </x:c>
    </x:row>
    <x:row r="27">
      <x:c r="A27" t="n">
        <x:v>26</x:v>
      </x:c>
      <x:c r="B27" t="n">
        <x:v>10125</x:v>
      </x:c>
      <x:c r="C27" t="str">
        <x:v>Erik Bauer</x:v>
      </x:c>
      <x:c r="D27" t="str">
        <x:v>2024-356</x:v>
      </x:c>
      <x:c r="E27" s="6" t="n">
        <x:v>648</x:v>
      </x:c>
      <x:c r="F27" t="str">
        <x:v>2025-281</x:v>
      </x:c>
      <x:c r="G27" s="6" t="n">
        <x:v>2592</x:v>
      </x:c>
      <x:c r="H27" s="6" t="n">
        <x:f>E27+G27</x:f>
        <x:v>3240</x:v>
      </x:c>
      <x:c r="I27" t="str"/>
      <x:c r="J27" s="6" t="n">
        <x:v>3240</x:v>
      </x:c>
      <x:c r="K27" s="6" t="n">
        <x:f>IF(ISNUMBER(J27),H27-J27,"")</x:f>
        <x:v>0</x:v>
      </x:c>
    </x:row>
    <x:row r="28">
      <x:c r="A28" t="n">
        <x:v>27</x:v>
      </x:c>
      <x:c r="B28" t="n">
        <x:v>10216</x:v>
      </x:c>
      <x:c r="C28" t="str">
        <x:v>Mina Hathiramani</x:v>
      </x:c>
      <x:c r="D28" t="str">
        <x:v>2024-357</x:v>
      </x:c>
      <x:c r="E28" s="6" t="n">
        <x:v>0</x:v>
      </x:c>
      <x:c r="F28" t="str">
        <x:v>2025-282</x:v>
      </x:c>
      <x:c r="G28" s="6" t="n">
        <x:v>9900</x:v>
      </x:c>
      <x:c r="H28" s="6" t="n">
        <x:f>E28+G28</x:f>
        <x:v>9900</x:v>
      </x:c>
      <x:c r="I28" t="str">
        <x:v>Betrag aus 2024 storniert 1.980,00€, da kein Zahlungseingang</x:v>
      </x:c>
      <x:c r="J28" s="6" t="n">
        <x:v>9900</x:v>
      </x:c>
      <x:c r="K28" s="6" t="n">
        <x:f>IF(ISNUMBER(J28),H28-J28,"")</x:f>
        <x:v>0</x:v>
      </x:c>
    </x:row>
    <x:row r="29">
      <x:c r="A29" t="n">
        <x:v>28</x:v>
      </x:c>
      <x:c r="B29" t="n">
        <x:v>10218</x:v>
      </x:c>
      <x:c r="C29" t="str">
        <x:v>Minou Liebmann</x:v>
      </x:c>
      <x:c r="D29" t="str">
        <x:v>2024-360</x:v>
      </x:c>
      <x:c r="E29" s="6" t="n">
        <x:v>0</x:v>
      </x:c>
      <x:c r="F29" t="str">
        <x:v>2025-283</x:v>
      </x:c>
      <x:c r="G29" s="6" t="n">
        <x:v>8100</x:v>
      </x:c>
      <x:c r="H29" s="6" t="n">
        <x:f>E29+G29</x:f>
        <x:v>8100</x:v>
      </x:c>
      <x:c r="I29" t="str">
        <x:v>Betrag aus 2024 storniert 1.620,00€, da kein Zahlungseingang</x:v>
      </x:c>
      <x:c r="J29" s="6" t="n">
        <x:v>8100</x:v>
      </x:c>
      <x:c r="K29" s="6" t="n">
        <x:f>IF(ISNUMBER(J29),H29-J29,"")</x:f>
        <x:v>0</x:v>
      </x:c>
    </x:row>
    <x:row r="30">
      <x:c r="A30" t="n">
        <x:v>29</x:v>
      </x:c>
      <x:c r="B30" t="n">
        <x:v>10219</x:v>
      </x:c>
      <x:c r="C30" t="str">
        <x:v>Mara Noll</x:v>
      </x:c>
      <x:c r="D30" t="str">
        <x:v>2024-361</x:v>
      </x:c>
      <x:c r="E30" s="6" t="n">
        <x:v>0</x:v>
      </x:c>
      <x:c r="F30" t="str">
        <x:v>2025-284</x:v>
      </x:c>
      <x:c r="G30" s="6" t="n">
        <x:v>3850</x:v>
      </x:c>
      <x:c r="H30" s="6" t="n">
        <x:f>E30+G30</x:f>
        <x:v>3850</x:v>
      </x:c>
      <x:c r="I30" t="str">
        <x:v>Betrag aus 2024 storniert 770,00€, da kein Zahlungseingang</x:v>
      </x:c>
      <x:c r="J30" s="6" t="n">
        <x:v>3850</x:v>
      </x:c>
      <x:c r="K30" s="6" t="n">
        <x:f>IF(ISNUMBER(J30),H30-J30,"")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27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  <x:col min="10" max="10" width="18" hidden="0" customWidth="1"/>
    <x:col min="11" max="11" width="12" hidden="0" customWidth="1"/>
    <x:col min="12" max="12" width="18" hidden="0" customWidth="1"/>
    <x:col min="13" max="13" width="18" hidden="0" customWidth="1"/>
    <x:col min="14" max="14" width="62" hidden="0" customWidth="1"/>
  </x:cols>
  <x:sheetData>
    <x:row r="1">
      <x:c r="A1" s="2" t="str">
        <x:v>Quelle: Jamso Trainee, Debitorenaufstellung 18.0.9.2024.xlsx; E-Mail vom 18.09.2026, „3/3“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 t="str">
        <x:v>Originale Ergebnisspalte G ausgeschlossen. Zeile 200 ist eine Quell-Summenzeile und wird nicht gerechnet.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0" customHeight="1">
      <x:c r="A4" s="4" t="str">
        <x:v>Quellzeile</x:v>
      </x:c>
      <x:c r="B4" s="4" t="str">
        <x:v>Abschnitt</x:v>
      </x:c>
      <x:c r="C4" s="4" t="str">
        <x:v>Konto original</x:v>
      </x:c>
      <x:c r="D4" s="4" t="str">
        <x:v>Konto zugeordnet</x:v>
      </x:c>
      <x:c r="E4" s="4" t="str">
        <x:v>Name / Text</x:v>
      </x:c>
      <x:c r="F4" s="4" t="str">
        <x:v>RE-Nr.</x:v>
      </x:c>
      <x:c r="G4" s="4" t="str">
        <x:v>Rechnungsbetrag D</x:v>
      </x:c>
      <x:c r="H4" s="4" t="str">
        <x:v>Zahlung E</x:v>
      </x:c>
      <x:c r="I4" s="4" t="str">
        <x:v>Datum original</x:v>
      </x:c>
      <x:c r="J4" s="4" t="str">
        <x:v>Datum geprüft</x:v>
      </x:c>
      <x:c r="K4" s="4" t="str">
        <x:v>Jahr Zahlung</x:v>
      </x:c>
      <x:c r="L4" s="4" t="str">
        <x:v>Saldo neu D − E</x:v>
      </x:c>
      <x:c r="M4" s="4" t="str">
        <x:v>Saldo 31.12.24</x:v>
      </x:c>
      <x:c r="N4" s="4" t="str">
        <x:v>Quellenhinweis</x:v>
      </x:c>
    </x:row>
    <x:row r="5">
      <x:c r="A5" s="2" t="n">
        <x:v>2</x:v>
      </x:c>
      <x:c r="B5" s="2" t="str">
        <x:v>Hauptliste</x:v>
      </x:c>
      <x:c r="C5" s="2" t="n">
        <x:v>10001</x:v>
      </x:c>
      <x:c r="D5" s="2" t="n">
        <x:v>10001</x:v>
      </x:c>
      <x:c r="E5" s="2" t="str">
        <x:v>Katharina Ortner</x:v>
      </x:c>
      <x:c r="F5" s="2" t="str">
        <x:v>2024-104</x:v>
      </x:c>
      <x:c r="G5" s="5" t="n">
        <x:v>883.5</x:v>
      </x:c>
      <x:c r="H5" s="5" t="n">
        <x:v>0</x:v>
      </x:c>
      <x:c r="I5" s="2" t="str"/>
      <x:c r="J5" s="7"/>
      <x:c r="K5" s="2"/>
      <x:c r="L5" s="5" t="n">
        <x:f>G5-H5</x:f>
        <x:v>883.5</x:v>
      </x:c>
      <x:c r="M5" s="5" t="n">
        <x:f>IF(B5="Hauptliste",G5-IF(AND(ISNUMBER(K5),K5&lt;=2024),H5,0),0)</x:f>
        <x:v>883.5</x:v>
      </x:c>
      <x:c r="N5" s="2" t="str"/>
    </x:row>
    <x:row r="6">
      <x:c r="A6" s="2" t="n">
        <x:v>3</x:v>
      </x:c>
      <x:c r="B6" s="2" t="str">
        <x:v>Hauptliste</x:v>
      </x:c>
      <x:c r="C6" s="2"/>
      <x:c r="D6" s="2" t="n">
        <x:v>10001</x:v>
      </x:c>
      <x:c r="E6" s="2" t="str">
        <x:v>Katharina Ortner</x:v>
      </x:c>
      <x:c r="F6" s="2" t="str">
        <x:v>2024-160</x:v>
      </x:c>
      <x:c r="G6" s="5" t="n">
        <x:v>362.7</x:v>
      </x:c>
      <x:c r="H6" s="5" t="n">
        <x:v>362.7</x:v>
      </x:c>
      <x:c r="I6" s="2" t="str">
        <x:v>2024-03-11</x:v>
      </x:c>
      <x:c r="J6" s="7" t="n">
        <x:v>45362.5</x:v>
      </x:c>
      <x:c r="K6" s="2" t="n">
        <x:v>2024</x:v>
      </x:c>
      <x:c r="L6" s="5" t="n">
        <x:f>G6-H6</x:f>
        <x:v>0</x:v>
      </x:c>
      <x:c r="M6" s="5" t="n">
        <x:f>IF(B6="Hauptliste",G6-IF(AND(ISNUMBER(K6),K6&lt;=2024),H6,0),0)</x:f>
        <x:v>0</x:v>
      </x:c>
      <x:c r="N6" s="2" t="str"/>
    </x:row>
    <x:row r="7">
      <x:c r="A7" s="2" t="n">
        <x:v>4</x:v>
      </x:c>
      <x:c r="B7" s="2" t="str">
        <x:v>Hauptliste</x:v>
      </x:c>
      <x:c r="C7" s="2" t="n">
        <x:v>10003</x:v>
      </x:c>
      <x:c r="D7" s="2" t="n">
        <x:v>10003</x:v>
      </x:c>
      <x:c r="E7" s="2" t="str">
        <x:v>Lucy Maria Erdmenger</x:v>
      </x:c>
      <x:c r="F7" s="2" t="str">
        <x:v>2024-106</x:v>
      </x:c>
      <x:c r="G7" s="5" t="n">
        <x:v>16400</x:v>
      </x:c>
      <x:c r="H7" s="5" t="n">
        <x:v>3280</x:v>
      </x:c>
      <x:c r="I7" s="2" t="str">
        <x:v>2024-01-10</x:v>
      </x:c>
      <x:c r="J7" s="7" t="n">
        <x:v>45301.5</x:v>
      </x:c>
      <x:c r="K7" s="2" t="n">
        <x:v>2024</x:v>
      </x:c>
      <x:c r="L7" s="5" t="n">
        <x:f>G7-H7</x:f>
        <x:v>13120</x:v>
      </x:c>
      <x:c r="M7" s="5" t="n">
        <x:f>IF(B7="Hauptliste",G7-IF(AND(ISNUMBER(K7),K7&lt;=2024),H7,0),0)</x:f>
        <x:v>13120</x:v>
      </x:c>
      <x:c r="N7" s="2" t="str"/>
    </x:row>
    <x:row r="8">
      <x:c r="A8" s="2" t="n">
        <x:v>5</x:v>
      </x:c>
      <x:c r="B8" s="2" t="str">
        <x:v>Hauptliste</x:v>
      </x:c>
      <x:c r="C8" s="2"/>
      <x:c r="D8" s="2" t="n">
        <x:v>10003</x:v>
      </x:c>
      <x:c r="E8" s="2" t="str">
        <x:v>Lucy Maria Erdmenger</x:v>
      </x:c>
      <x:c r="F8" s="2" t="str"/>
      <x:c r="G8" s="5" t="n">
        <x:v>0</x:v>
      </x:c>
      <x:c r="H8" s="5" t="n">
        <x:v>3280</x:v>
      </x:c>
      <x:c r="I8" s="2" t="str">
        <x:v>2024-03-06</x:v>
      </x:c>
      <x:c r="J8" s="7" t="n">
        <x:v>45357.5</x:v>
      </x:c>
      <x:c r="K8" s="2" t="n">
        <x:v>2024</x:v>
      </x:c>
      <x:c r="L8" s="5" t="n">
        <x:f>G8-H8</x:f>
        <x:v>-3280</x:v>
      </x:c>
      <x:c r="M8" s="5" t="n">
        <x:f>IF(B8="Hauptliste",G8-IF(AND(ISNUMBER(K8),K8&lt;=2024),H8,0),0)</x:f>
        <x:v>-3280</x:v>
      </x:c>
      <x:c r="N8" s="2" t="str"/>
    </x:row>
    <x:row r="9">
      <x:c r="A9" s="2" t="n">
        <x:v>6</x:v>
      </x:c>
      <x:c r="B9" s="2" t="str">
        <x:v>Hauptliste</x:v>
      </x:c>
      <x:c r="C9" s="2"/>
      <x:c r="D9" s="2" t="n">
        <x:v>10003</x:v>
      </x:c>
      <x:c r="E9" s="2" t="str">
        <x:v>Lucy Maria Erdmenger</x:v>
      </x:c>
      <x:c r="F9" s="2" t="str"/>
      <x:c r="G9" s="5" t="n">
        <x:v>0</x:v>
      </x:c>
      <x:c r="H9" s="5" t="n">
        <x:v>9840</x:v>
      </x:c>
      <x:c r="I9" s="2" t="str">
        <x:v>2024-05-31</x:v>
      </x:c>
      <x:c r="J9" s="7" t="n">
        <x:v>45443.5</x:v>
      </x:c>
      <x:c r="K9" s="2" t="n">
        <x:v>2024</x:v>
      </x:c>
      <x:c r="L9" s="5" t="n">
        <x:f>G9-H9</x:f>
        <x:v>-9840</x:v>
      </x:c>
      <x:c r="M9" s="5" t="n">
        <x:f>IF(B9="Hauptliste",G9-IF(AND(ISNUMBER(K9),K9&lt;=2024),H9,0),0)</x:f>
        <x:v>-9840</x:v>
      </x:c>
      <x:c r="N9" s="2" t="str"/>
    </x:row>
    <x:row r="10">
      <x:c r="A10" s="2" t="n">
        <x:v>7</x:v>
      </x:c>
      <x:c r="B10" s="2" t="str">
        <x:v>Hauptliste</x:v>
      </x:c>
      <x:c r="C10" s="2"/>
      <x:c r="D10" s="2" t="n">
        <x:v>10003</x:v>
      </x:c>
      <x:c r="E10" s="2" t="str">
        <x:v>Lucy Maria Erdmenger</x:v>
      </x:c>
      <x:c r="F10" s="2" t="str">
        <x:v>2024-235</x:v>
      </x:c>
      <x:c r="G10" s="5" t="n">
        <x:v>680</x:v>
      </x:c>
      <x:c r="H10" s="5" t="n">
        <x:v>416</x:v>
      </x:c>
      <x:c r="I10" s="2" t="str">
        <x:v>2024-07-01</x:v>
      </x:c>
      <x:c r="J10" s="7" t="n">
        <x:v>45474.5</x:v>
      </x:c>
      <x:c r="K10" s="2" t="n">
        <x:v>2024</x:v>
      </x:c>
      <x:c r="L10" s="5" t="n">
        <x:f>G10-H10</x:f>
        <x:v>264</x:v>
      </x:c>
      <x:c r="M10" s="5" t="n">
        <x:f>IF(B10="Hauptliste",G10-IF(AND(ISNUMBER(K10),K10&lt;=2024),H10,0),0)</x:f>
        <x:v>264</x:v>
      </x:c>
      <x:c r="N10" s="2" t="str"/>
    </x:row>
    <x:row r="11">
      <x:c r="A11" s="2" t="n">
        <x:v>8</x:v>
      </x:c>
      <x:c r="B11" s="2" t="str">
        <x:v>Hauptliste</x:v>
      </x:c>
      <x:c r="C11" s="2"/>
      <x:c r="D11" s="2" t="n">
        <x:v>10003</x:v>
      </x:c>
      <x:c r="E11" s="2" t="str">
        <x:v>Lucy Maria Erdmenger</x:v>
      </x:c>
      <x:c r="F11" s="2" t="str">
        <x:v>2024-237</x:v>
      </x:c>
      <x:c r="G11" s="5" t="n">
        <x:v>380</x:v>
      </x:c>
      <x:c r="H11" s="5" t="n">
        <x:v>380</x:v>
      </x:c>
      <x:c r="I11" s="2" t="str">
        <x:v>2024-10-23</x:v>
      </x:c>
      <x:c r="J11" s="7" t="n">
        <x:v>45588.5</x:v>
      </x:c>
      <x:c r="K11" s="2" t="n">
        <x:v>2024</x:v>
      </x:c>
      <x:c r="L11" s="5" t="n">
        <x:f>G11-H11</x:f>
        <x:v>0</x:v>
      </x:c>
      <x:c r="M11" s="5" t="n">
        <x:f>IF(B11="Hauptliste",G11-IF(AND(ISNUMBER(K11),K11&lt;=2024),H11,0),0)</x:f>
        <x:v>0</x:v>
      </x:c>
      <x:c r="N11" s="2" t="str"/>
    </x:row>
    <x:row r="12">
      <x:c r="A12" s="2" t="n">
        <x:v>9</x:v>
      </x:c>
      <x:c r="B12" s="2" t="str">
        <x:v>Hauptliste</x:v>
      </x:c>
      <x:c r="C12" s="2"/>
      <x:c r="D12" s="2" t="n">
        <x:v>10003</x:v>
      </x:c>
      <x:c r="E12" s="2" t="str">
        <x:v>Lucy Maria Erdmenger</x:v>
      </x:c>
      <x:c r="F12" s="2" t="str">
        <x:v>2024-235a</x:v>
      </x:c>
      <x:c r="G12" s="5" t="n">
        <x:v>680</x:v>
      </x:c>
      <x:c r="H12" s="5" t="n">
        <x:v>944</x:v>
      </x:c>
      <x:c r="I12" s="2" t="str">
        <x:v>2024-10-23</x:v>
      </x:c>
      <x:c r="J12" s="7" t="n">
        <x:v>45588.5</x:v>
      </x:c>
      <x:c r="K12" s="2" t="n">
        <x:v>2024</x:v>
      </x:c>
      <x:c r="L12" s="5" t="n">
        <x:f>G12-H12</x:f>
        <x:v>-264</x:v>
      </x:c>
      <x:c r="M12" s="5" t="n">
        <x:f>IF(B12="Hauptliste",G12-IF(AND(ISNUMBER(K12),K12&lt;=2024),H12,0),0)</x:f>
        <x:v>-264</x:v>
      </x:c>
      <x:c r="N12" s="2" t="str"/>
    </x:row>
    <x:row r="13">
      <x:c r="A13" s="2" t="n">
        <x:v>10</x:v>
      </x:c>
      <x:c r="B13" s="2" t="str">
        <x:v>Hauptliste</x:v>
      </x:c>
      <x:c r="C13" s="2"/>
      <x:c r="D13" s="2" t="n">
        <x:v>10003</x:v>
      </x:c>
      <x:c r="E13" s="2" t="str">
        <x:v>Lucy Maria Erdmenger</x:v>
      </x:c>
      <x:c r="F13" s="2" t="str">
        <x:v>18249</x:v>
      </x:c>
      <x:c r="G13" s="5" t="n">
        <x:v>5.56</x:v>
      </x:c>
      <x:c r="H13" s="5" t="n">
        <x:v>5.56</x:v>
      </x:c>
      <x:c r="I13" s="2" t="str">
        <x:v>2024-10-23</x:v>
      </x:c>
      <x:c r="J13" s="7" t="n">
        <x:v>45588.5</x:v>
      </x:c>
      <x:c r="K13" s="2" t="n">
        <x:v>2024</x:v>
      </x:c>
      <x:c r="L13" s="5" t="n">
        <x:f>G13-H13</x:f>
        <x:v>0</x:v>
      </x:c>
      <x:c r="M13" s="5" t="n">
        <x:f>IF(B13="Hauptliste",G13-IF(AND(ISNUMBER(K13),K13&lt;=2024),H13,0),0)</x:f>
        <x:v>0</x:v>
      </x:c>
      <x:c r="N13" s="2" t="str"/>
    </x:row>
    <x:row r="14">
      <x:c r="A14" s="2" t="n">
        <x:v>11</x:v>
      </x:c>
      <x:c r="B14" s="2" t="str">
        <x:v>Hauptliste</x:v>
      </x:c>
      <x:c r="C14" s="2"/>
      <x:c r="D14" s="2" t="n">
        <x:v>10003</x:v>
      </x:c>
      <x:c r="E14" s="2" t="str">
        <x:v>von uns zurück gez.</x:v>
      </x:c>
      <x:c r="F14" s="2" t="str">
        <x:v>18255</x:v>
      </x:c>
      <x:c r="G14" s="5" t="n">
        <x:v>-476</x:v>
      </x:c>
      <x:c r="H14" s="5" t="n">
        <x:v>-476</x:v>
      </x:c>
      <x:c r="I14" s="2" t="str">
        <x:v>2024-12-16</x:v>
      </x:c>
      <x:c r="J14" s="7" t="n">
        <x:v>45642.5</x:v>
      </x:c>
      <x:c r="K14" s="2" t="n">
        <x:v>2024</x:v>
      </x:c>
      <x:c r="L14" s="5" t="n">
        <x:f>G14-H14</x:f>
        <x:v>0</x:v>
      </x:c>
      <x:c r="M14" s="5" t="n">
        <x:f>IF(B14="Hauptliste",G14-IF(AND(ISNUMBER(K14),K14&lt;=2024),H14,0),0)</x:f>
        <x:v>0</x:v>
      </x:c>
      <x:c r="N14" s="2" t="str"/>
    </x:row>
    <x:row r="15">
      <x:c r="A15" s="2" t="n">
        <x:v>13</x:v>
      </x:c>
      <x:c r="B15" s="2" t="str">
        <x:v>Hauptliste</x:v>
      </x:c>
      <x:c r="C15" s="2" t="n">
        <x:v>10004</x:v>
      </x:c>
      <x:c r="D15" s="2" t="n">
        <x:v>10004</x:v>
      </x:c>
      <x:c r="E15" s="2" t="str">
        <x:v>Sahra Richter</x:v>
      </x:c>
      <x:c r="F15" s="2" t="str">
        <x:v>2024-107</x:v>
      </x:c>
      <x:c r="G15" s="5" t="n">
        <x:v>15490</x:v>
      </x:c>
      <x:c r="H15" s="5" t="n">
        <x:v>3098</x:v>
      </x:c>
      <x:c r="I15" s="2" t="str">
        <x:v>2024-01-19</x:v>
      </x:c>
      <x:c r="J15" s="7" t="n">
        <x:v>45310.5</x:v>
      </x:c>
      <x:c r="K15" s="2" t="n">
        <x:v>2024</x:v>
      </x:c>
      <x:c r="L15" s="5" t="n">
        <x:f>G15-H15</x:f>
        <x:v>12392</x:v>
      </x:c>
      <x:c r="M15" s="5" t="n">
        <x:f>IF(B15="Hauptliste",G15-IF(AND(ISNUMBER(K15),K15&lt;=2024),H15,0),0)</x:f>
        <x:v>12392</x:v>
      </x:c>
      <x:c r="N15" s="2" t="str"/>
    </x:row>
    <x:row r="16">
      <x:c r="A16" s="2" t="n">
        <x:v>14</x:v>
      </x:c>
      <x:c r="B16" s="2" t="str">
        <x:v>Hauptliste</x:v>
      </x:c>
      <x:c r="C16" s="2"/>
      <x:c r="D16" s="2" t="n">
        <x:v>10004</x:v>
      </x:c>
      <x:c r="E16" s="2" t="str">
        <x:v>Sahra Richter</x:v>
      </x:c>
      <x:c r="F16" s="2" t="str"/>
      <x:c r="G16" s="5" t="n">
        <x:v>0</x:v>
      </x:c>
      <x:c r="H16" s="5" t="n">
        <x:v>3098</x:v>
      </x:c>
      <x:c r="I16" s="2" t="str">
        <x:v>2024-03-13</x:v>
      </x:c>
      <x:c r="J16" s="7" t="n">
        <x:v>45364.5</x:v>
      </x:c>
      <x:c r="K16" s="2" t="n">
        <x:v>2024</x:v>
      </x:c>
      <x:c r="L16" s="5" t="n">
        <x:f>G16-H16</x:f>
        <x:v>-3098</x:v>
      </x:c>
      <x:c r="M16" s="5" t="n">
        <x:f>IF(B16="Hauptliste",G16-IF(AND(ISNUMBER(K16),K16&lt;=2024),H16,0),0)</x:f>
        <x:v>-3098</x:v>
      </x:c>
      <x:c r="N16" s="2" t="str"/>
    </x:row>
    <x:row r="17">
      <x:c r="A17" s="2" t="n">
        <x:v>15</x:v>
      </x:c>
      <x:c r="B17" s="2" t="str">
        <x:v>Hauptliste</x:v>
      </x:c>
      <x:c r="C17" s="2"/>
      <x:c r="D17" s="2" t="n">
        <x:v>10004</x:v>
      </x:c>
      <x:c r="E17" s="2" t="str">
        <x:v>Sahra Richter</x:v>
      </x:c>
      <x:c r="F17" s="2" t="str"/>
      <x:c r="G17" s="5" t="n">
        <x:v>0</x:v>
      </x:c>
      <x:c r="H17" s="5" t="n">
        <x:v>9294</x:v>
      </x:c>
      <x:c r="I17" s="2" t="str">
        <x:v>2024-05-24</x:v>
      </x:c>
      <x:c r="J17" s="7" t="n">
        <x:v>45436.5</x:v>
      </x:c>
      <x:c r="K17" s="2" t="n">
        <x:v>2024</x:v>
      </x:c>
      <x:c r="L17" s="5" t="n">
        <x:f>G17-H17</x:f>
        <x:v>-9294</x:v>
      </x:c>
      <x:c r="M17" s="5" t="n">
        <x:f>IF(B17="Hauptliste",G17-IF(AND(ISNUMBER(K17),K17&lt;=2024),H17,0),0)</x:f>
        <x:v>-9294</x:v>
      </x:c>
      <x:c r="N17" s="2" t="str"/>
    </x:row>
    <x:row r="18">
      <x:c r="A18" s="2" t="n">
        <x:v>16</x:v>
      </x:c>
      <x:c r="B18" s="2" t="str">
        <x:v>Hauptliste</x:v>
      </x:c>
      <x:c r="C18" s="2"/>
      <x:c r="D18" s="2" t="n">
        <x:v>10004</x:v>
      </x:c>
      <x:c r="E18" s="2" t="str">
        <x:v>Sahra Richter</x:v>
      </x:c>
      <x:c r="F18" s="2" t="str">
        <x:v>2024-236</x:v>
      </x:c>
      <x:c r="G18" s="5" t="n">
        <x:v>-210</x:v>
      </x:c>
      <x:c r="H18" s="5" t="n">
        <x:v>0</x:v>
      </x:c>
      <x:c r="I18" s="2" t="str"/>
      <x:c r="J18" s="7"/>
      <x:c r="K18" s="2"/>
      <x:c r="L18" s="5" t="n">
        <x:f>G18-H18</x:f>
        <x:v>-210</x:v>
      </x:c>
      <x:c r="M18" s="5" t="n">
        <x:f>IF(B18="Hauptliste",G18-IF(AND(ISNUMBER(K18),K18&lt;=2024),H18,0),0)</x:f>
        <x:v>-210</x:v>
      </x:c>
      <x:c r="N18" s="2" t="str"/>
    </x:row>
    <x:row r="19">
      <x:c r="A19" s="2" t="n">
        <x:v>17</x:v>
      </x:c>
      <x:c r="B19" s="2" t="str">
        <x:v>Hauptliste</x:v>
      </x:c>
      <x:c r="C19" s="2"/>
      <x:c r="D19" s="2" t="n">
        <x:v>10004</x:v>
      </x:c>
      <x:c r="E19" s="2" t="str">
        <x:v>Sahra Richter</x:v>
      </x:c>
      <x:c r="F19" s="2" t="str">
        <x:v>2024-324</x:v>
      </x:c>
      <x:c r="G19" s="5" t="n">
        <x:v>20</x:v>
      </x:c>
      <x:c r="H19" s="5" t="n">
        <x:v>0</x:v>
      </x:c>
      <x:c r="I19" s="2" t="str"/>
      <x:c r="J19" s="7"/>
      <x:c r="K19" s="2"/>
      <x:c r="L19" s="5" t="n">
        <x:f>G19-H19</x:f>
        <x:v>20</x:v>
      </x:c>
      <x:c r="M19" s="5" t="n">
        <x:f>IF(B19="Hauptliste",G19-IF(AND(ISNUMBER(K19),K19&lt;=2024),H19,0),0)</x:f>
        <x:v>20</x:v>
      </x:c>
      <x:c r="N19" s="2" t="str"/>
    </x:row>
    <x:row r="20">
      <x:c r="A20" s="2" t="n">
        <x:v>18</x:v>
      </x:c>
      <x:c r="B20" s="2" t="str">
        <x:v>Hauptliste</x:v>
      </x:c>
      <x:c r="C20" s="2" t="n">
        <x:v>10010</x:v>
      </x:c>
      <x:c r="D20" s="2" t="n">
        <x:v>10010</x:v>
      </x:c>
      <x:c r="E20" s="2" t="str">
        <x:v>Leoa Sophie Werner</x:v>
      </x:c>
      <x:c r="F20" s="2" t="str">
        <x:v>2023-113</x:v>
      </x:c>
      <x:c r="G20" s="5" t="n">
        <x:v>0</x:v>
      </x:c>
      <x:c r="H20" s="5" t="n">
        <x:v>1378</x:v>
      </x:c>
      <x:c r="I20" s="2" t="str">
        <x:v>2024-01-18</x:v>
      </x:c>
      <x:c r="J20" s="7" t="n">
        <x:v>45309.5</x:v>
      </x:c>
      <x:c r="K20" s="2" t="n">
        <x:v>2024</x:v>
      </x:c>
      <x:c r="L20" s="5" t="n">
        <x:f>G20-H20</x:f>
        <x:v>-1378</x:v>
      </x:c>
      <x:c r="M20" s="5" t="n">
        <x:f>IF(B20="Hauptliste",G20-IF(AND(ISNUMBER(K20),K20&lt;=2024),H20,0),0)</x:f>
        <x:v>-1378</x:v>
      </x:c>
      <x:c r="N20" s="2" t="str"/>
    </x:row>
    <x:row r="21">
      <x:c r="A21" t="n">
        <x:v>19</x:v>
      </x:c>
      <x:c r="B21" t="str">
        <x:v>Hauptliste</x:v>
      </x:c>
      <x:c r="C21"/>
      <x:c r="D21" t="n">
        <x:v>10010</x:v>
      </x:c>
      <x:c r="E21" t="str">
        <x:v>Leoa Sophie Werner</x:v>
      </x:c>
      <x:c r="F21" t="str">
        <x:v>2024-113</x:v>
      </x:c>
      <x:c r="G21" s="6" t="n">
        <x:v>6890</x:v>
      </x:c>
      <x:c r="H21" s="6" t="n">
        <x:v>5512</x:v>
      </x:c>
      <x:c r="I21" t="str">
        <x:v>2024-06-03</x:v>
      </x:c>
      <x:c r="J21" s="8" t="n">
        <x:v>45446.5</x:v>
      </x:c>
      <x:c r="K21" t="n">
        <x:v>2024</x:v>
      </x:c>
      <x:c r="L21" s="6" t="n">
        <x:f>G21-H21</x:f>
        <x:v>1378</x:v>
      </x:c>
      <x:c r="M21" s="6" t="n">
        <x:f>IF(B21="Hauptliste",G21-IF(AND(ISNUMBER(K21),K21&lt;=2024),H21,0),0)</x:f>
        <x:v>1378</x:v>
      </x:c>
      <x:c r="N21" t="str"/>
    </x:row>
    <x:row r="22">
      <x:c r="A22" t="n">
        <x:v>20</x:v>
      </x:c>
      <x:c r="B22" t="str">
        <x:v>Hauptliste</x:v>
      </x:c>
      <x:c r="C22"/>
      <x:c r="D22" t="n">
        <x:v>10010</x:v>
      </x:c>
      <x:c r="E22" t="str">
        <x:v>Leoa Sophie Werner</x:v>
      </x:c>
      <x:c r="F22" t="str"/>
      <x:c r="G22" s="6" t="n">
        <x:v>0</x:v>
      </x:c>
      <x:c r="H22" s="6" t="n">
        <x:v>120</x:v>
      </x:c>
      <x:c r="I22" t="str">
        <x:v>2024-06-17</x:v>
      </x:c>
      <x:c r="J22" s="8" t="n">
        <x:v>45460.5</x:v>
      </x:c>
      <x:c r="K22" t="n">
        <x:v>2024</x:v>
      </x:c>
      <x:c r="L22" s="6" t="n">
        <x:f>G22-H22</x:f>
        <x:v>-120</x:v>
      </x:c>
      <x:c r="M22" s="6" t="n">
        <x:f>IF(B22="Hauptliste",G22-IF(AND(ISNUMBER(K22),K22&lt;=2024),H22,0),0)</x:f>
        <x:v>-120</x:v>
      </x:c>
      <x:c r="N22" t="str"/>
    </x:row>
    <x:row r="23">
      <x:c r="A23" t="n">
        <x:v>21</x:v>
      </x:c>
      <x:c r="B23" t="str">
        <x:v>Hauptliste</x:v>
      </x:c>
      <x:c r="C23" t="n">
        <x:v>10016</x:v>
      </x:c>
      <x:c r="D23" t="n">
        <x:v>10016</x:v>
      </x:c>
      <x:c r="E23" t="str">
        <x:v>Sophie Kegel</x:v>
      </x:c>
      <x:c r="F23" t="str">
        <x:v>2024-119</x:v>
      </x:c>
      <x:c r="G23" s="6" t="n">
        <x:v>4119</x:v>
      </x:c>
      <x:c r="H23" s="6" t="n">
        <x:v>823.8</x:v>
      </x:c>
      <x:c r="I23" t="str">
        <x:v>2024-03-11</x:v>
      </x:c>
      <x:c r="J23" s="8" t="n">
        <x:v>45362.5</x:v>
      </x:c>
      <x:c r="K23" t="n">
        <x:v>2024</x:v>
      </x:c>
      <x:c r="L23" s="6" t="n">
        <x:f>G23-H23</x:f>
        <x:v>3295.2</x:v>
      </x:c>
      <x:c r="M23" s="6" t="n">
        <x:f>IF(B23="Hauptliste",G23-IF(AND(ISNUMBER(K23),K23&lt;=2024),H23,0),0)</x:f>
        <x:v>3295.2</x:v>
      </x:c>
      <x:c r="N23" t="str"/>
    </x:row>
    <x:row r="24">
      <x:c r="A24" t="n">
        <x:v>22</x:v>
      </x:c>
      <x:c r="B24" t="str">
        <x:v>Hauptliste</x:v>
      </x:c>
      <x:c r="C24"/>
      <x:c r="D24" t="n">
        <x:v>10016</x:v>
      </x:c>
      <x:c r="E24" t="str">
        <x:v>Sophie Kegel</x:v>
      </x:c>
      <x:c r="F24" t="str">
        <x:v>2024-220</x:v>
      </x:c>
      <x:c r="G24" s="6" t="n">
        <x:v>2245</x:v>
      </x:c>
      <x:c r="H24" s="6" t="n">
        <x:v>2245</x:v>
      </x:c>
      <x:c r="I24" t="str">
        <x:v>2024-07-02</x:v>
      </x:c>
      <x:c r="J24" s="8" t="n">
        <x:v>45475.5</x:v>
      </x:c>
      <x:c r="K24" t="n">
        <x:v>2024</x:v>
      </x:c>
      <x:c r="L24" s="6" t="n">
        <x:f>G24-H24</x:f>
        <x:v>0</x:v>
      </x:c>
      <x:c r="M24" s="6" t="n">
        <x:f>IF(B24="Hauptliste",G24-IF(AND(ISNUMBER(K24),K24&lt;=2024),H24,0),0)</x:f>
        <x:v>0</x:v>
      </x:c>
      <x:c r="N24" t="str"/>
    </x:row>
    <x:row r="25">
      <x:c r="A25" t="n">
        <x:v>23</x:v>
      </x:c>
      <x:c r="B25" t="str">
        <x:v>Hauptliste</x:v>
      </x:c>
      <x:c r="C25" t="n">
        <x:v>10020</x:v>
      </x:c>
      <x:c r="D25" t="n">
        <x:v>10020</x:v>
      </x:c>
      <x:c r="E25" t="str">
        <x:v>Amaury Baladier</x:v>
      </x:c>
      <x:c r="F25" t="str">
        <x:v>2024-123</x:v>
      </x:c>
      <x:c r="G25" s="6" t="n">
        <x:v>695.6</x:v>
      </x:c>
      <x:c r="H25" s="6" t="n">
        <x:v>836.4</x:v>
      </x:c>
      <x:c r="I25" t="str">
        <x:v>2024-02-29</x:v>
      </x:c>
      <x:c r="J25" s="8" t="n">
        <x:v>45351.5</x:v>
      </x:c>
      <x:c r="K25" t="n">
        <x:v>2024</x:v>
      </x:c>
      <x:c r="L25" s="6" t="n">
        <x:f>G25-H25</x:f>
        <x:v>-140.79999999999995</x:v>
      </x:c>
      <x:c r="M25" s="6" t="n">
        <x:f>IF(B25="Hauptliste",G25-IF(AND(ISNUMBER(K25),K25&lt;=2024),H25,0),0)</x:f>
        <x:v>-140.79999999999995</x:v>
      </x:c>
      <x:c r="N25" t="str"/>
    </x:row>
    <x:row r="26">
      <x:c r="A26" t="n">
        <x:v>24</x:v>
      </x:c>
      <x:c r="B26" t="str">
        <x:v>Hauptliste</x:v>
      </x:c>
      <x:c r="C26"/>
      <x:c r="D26" t="n">
        <x:v>10020</x:v>
      </x:c>
      <x:c r="E26" t="str">
        <x:v>Amaury Baladier</x:v>
      </x:c>
      <x:c r="F26" t="str"/>
      <x:c r="G26" s="6" t="n">
        <x:v>0</x:v>
      </x:c>
      <x:c r="H26" s="6" t="n">
        <x:v>-836.4</x:v>
      </x:c>
      <x:c r="I26" t="str">
        <x:v>2024-02-29</x:v>
      </x:c>
      <x:c r="J26" s="8" t="n">
        <x:v>45351.5</x:v>
      </x:c>
      <x:c r="K26" t="n">
        <x:v>2024</x:v>
      </x:c>
      <x:c r="L26" s="6" t="n">
        <x:f>G26-H26</x:f>
        <x:v>836.4</x:v>
      </x:c>
      <x:c r="M26" s="6" t="n">
        <x:f>IF(B26="Hauptliste",G26-IF(AND(ISNUMBER(K26),K26&lt;=2024),H26,0),0)</x:f>
        <x:v>836.4</x:v>
      </x:c>
      <x:c r="N26" t="str"/>
    </x:row>
    <x:row r="27">
      <x:c r="A27" t="n">
        <x:v>25</x:v>
      </x:c>
      <x:c r="B27" t="str">
        <x:v>Hauptliste</x:v>
      </x:c>
      <x:c r="C27"/>
      <x:c r="D27" t="n">
        <x:v>10020</x:v>
      </x:c>
      <x:c r="E27" t="str">
        <x:v>Amaury Baladier</x:v>
      </x:c>
      <x:c r="F27" t="str"/>
      <x:c r="G27" s="6" t="n">
        <x:v>0</x:v>
      </x:c>
      <x:c r="H27" s="6" t="n">
        <x:v>836.4</x:v>
      </x:c>
      <x:c r="I27" t="str">
        <x:v>2024-02-29</x:v>
      </x:c>
      <x:c r="J27" s="8" t="n">
        <x:v>45351.5</x:v>
      </x:c>
      <x:c r="K27" t="n">
        <x:v>2024</x:v>
      </x:c>
      <x:c r="L27" s="6" t="n">
        <x:f>G27-H27</x:f>
        <x:v>-836.4</x:v>
      </x:c>
      <x:c r="M27" s="6" t="n">
        <x:f>IF(B27="Hauptliste",G27-IF(AND(ISNUMBER(K27),K27&lt;=2024),H27,0),0)</x:f>
        <x:v>-836.4</x:v>
      </x:c>
      <x:c r="N27" t="str"/>
    </x:row>
    <x:row r="28">
      <x:c r="A28" t="n">
        <x:v>26</x:v>
      </x:c>
      <x:c r="B28" t="str">
        <x:v>Hauptliste</x:v>
      </x:c>
      <x:c r="C28" t="n">
        <x:v>10021</x:v>
      </x:c>
      <x:c r="D28" t="n">
        <x:v>10021</x:v>
      </x:c>
      <x:c r="E28" t="str">
        <x:v>Miguel Tjin</x:v>
      </x:c>
      <x:c r="F28" t="str">
        <x:v>2024-124</x:v>
      </x:c>
      <x:c r="G28" s="6" t="n">
        <x:v>1758</x:v>
      </x:c>
      <x:c r="H28" s="6" t="n">
        <x:v>0</x:v>
      </x:c>
      <x:c r="I28" t="str"/>
      <x:c r="J28" s="8"/>
      <x:c r="K28"/>
      <x:c r="L28" s="6" t="n">
        <x:f>G28-H28</x:f>
        <x:v>1758</x:v>
      </x:c>
      <x:c r="M28" s="6" t="n">
        <x:f>IF(B28="Hauptliste",G28-IF(AND(ISNUMBER(K28),K28&lt;=2024),H28,0),0)</x:f>
        <x:v>1758</x:v>
      </x:c>
      <x:c r="N28" t="str"/>
    </x:row>
    <x:row r="29">
      <x:c r="A29" t="n">
        <x:v>28</x:v>
      </x:c>
      <x:c r="B29" t="str">
        <x:v>Hauptliste</x:v>
      </x:c>
      <x:c r="C29" t="n">
        <x:v>10024</x:v>
      </x:c>
      <x:c r="D29" t="n">
        <x:v>10024</x:v>
      </x:c>
      <x:c r="E29" t="str">
        <x:v>Clara Sheridan</x:v>
      </x:c>
      <x:c r="F29" t="str">
        <x:v>2024-127</x:v>
      </x:c>
      <x:c r="G29" s="6" t="n">
        <x:v>332</x:v>
      </x:c>
      <x:c r="H29" s="6" t="n">
        <x:v>0</x:v>
      </x:c>
      <x:c r="I29" t="str"/>
      <x:c r="J29" s="8"/>
      <x:c r="K29"/>
      <x:c r="L29" s="6" t="n">
        <x:f>G29-H29</x:f>
        <x:v>332</x:v>
      </x:c>
      <x:c r="M29" s="6" t="n">
        <x:f>IF(B29="Hauptliste",G29-IF(AND(ISNUMBER(K29),K29&lt;=2024),H29,0),0)</x:f>
        <x:v>332</x:v>
      </x:c>
      <x:c r="N29" t="str"/>
    </x:row>
    <x:row r="30">
      <x:c r="A30" t="n">
        <x:v>30</x:v>
      </x:c>
      <x:c r="B30" t="str">
        <x:v>Hauptliste</x:v>
      </x:c>
      <x:c r="C30" t="n">
        <x:v>10031</x:v>
      </x:c>
      <x:c r="D30" t="n">
        <x:v>10031</x:v>
      </x:c>
      <x:c r="E30" t="str">
        <x:v>Alyssa Elara Bielefeld</x:v>
      </x:c>
      <x:c r="F30" t="str">
        <x:v>2024-134</x:v>
      </x:c>
      <x:c r="G30" s="6" t="n">
        <x:v>3150</x:v>
      </x:c>
      <x:c r="H30" s="6" t="n">
        <x:v>290</x:v>
      </x:c>
      <x:c r="I30" t="str">
        <x:v>2024-03-18</x:v>
      </x:c>
      <x:c r="J30" s="8" t="n">
        <x:v>45369.5</x:v>
      </x:c>
      <x:c r="K30" t="n">
        <x:v>2024</x:v>
      </x:c>
      <x:c r="L30" s="6" t="n">
        <x:f>G30-H30</x:f>
        <x:v>2860</x:v>
      </x:c>
      <x:c r="M30" s="6" t="n">
        <x:f>IF(B30="Hauptliste",G30-IF(AND(ISNUMBER(K30),K30&lt;=2024),H30,0),0)</x:f>
        <x:v>2860</x:v>
      </x:c>
      <x:c r="N30" t="str"/>
    </x:row>
    <x:row r="31">
      <x:c r="A31" t="n">
        <x:v>31</x:v>
      </x:c>
      <x:c r="B31" t="str">
        <x:v>Hauptliste</x:v>
      </x:c>
      <x:c r="C31"/>
      <x:c r="D31" t="n">
        <x:v>10031</x:v>
      </x:c>
      <x:c r="E31" t="str">
        <x:v>Alyssa Elara Bielefeld</x:v>
      </x:c>
      <x:c r="F31" t="str"/>
      <x:c r="G31" s="6" t="n">
        <x:v>0</x:v>
      </x:c>
      <x:c r="H31" s="6" t="n">
        <x:v>340</x:v>
      </x:c>
      <x:c r="I31" t="str">
        <x:v>2024-06-10</x:v>
      </x:c>
      <x:c r="J31" s="8" t="n">
        <x:v>45453.5</x:v>
      </x:c>
      <x:c r="K31" t="n">
        <x:v>2024</x:v>
      </x:c>
      <x:c r="L31" s="6" t="n">
        <x:f>G31-H31</x:f>
        <x:v>-340</x:v>
      </x:c>
      <x:c r="M31" s="6" t="n">
        <x:f>IF(B31="Hauptliste",G31-IF(AND(ISNUMBER(K31),K31&lt;=2024),H31,0),0)</x:f>
        <x:v>-340</x:v>
      </x:c>
      <x:c r="N31" t="str"/>
    </x:row>
    <x:row r="32">
      <x:c r="A32" t="n">
        <x:v>32</x:v>
      </x:c>
      <x:c r="B32" t="str">
        <x:v>Hauptliste</x:v>
      </x:c>
      <x:c r="C32"/>
      <x:c r="D32" t="n">
        <x:v>10031</x:v>
      </x:c>
      <x:c r="E32" t="str">
        <x:v>Alyssa Elara Bielefeld</x:v>
      </x:c>
      <x:c r="F32" t="str"/>
      <x:c r="G32" s="6" t="n">
        <x:v>0</x:v>
      </x:c>
      <x:c r="H32" s="6" t="n">
        <x:v>1160</x:v>
      </x:c>
      <x:c r="I32" t="str">
        <x:v>2024-09-16</x:v>
      </x:c>
      <x:c r="J32" s="8" t="n">
        <x:v>45551.5</x:v>
      </x:c>
      <x:c r="K32" t="n">
        <x:v>2024</x:v>
      </x:c>
      <x:c r="L32" s="6" t="n">
        <x:f>G32-H32</x:f>
        <x:v>-1160</x:v>
      </x:c>
      <x:c r="M32" s="6" t="n">
        <x:f>IF(B32="Hauptliste",G32-IF(AND(ISNUMBER(K32),K32&lt;=2024),H32,0),0)</x:f>
        <x:v>-1160</x:v>
      </x:c>
      <x:c r="N32" t="str"/>
    </x:row>
    <x:row r="33">
      <x:c r="A33" t="n">
        <x:v>33</x:v>
      </x:c>
      <x:c r="B33" t="str">
        <x:v>Hauptliste</x:v>
      </x:c>
      <x:c r="C33"/>
      <x:c r="D33" t="n">
        <x:v>10031</x:v>
      </x:c>
      <x:c r="E33" t="str">
        <x:v>Alyssa Elara Bielefeld</x:v>
      </x:c>
      <x:c r="F33" t="str"/>
      <x:c r="G33" s="6" t="n">
        <x:v>0</x:v>
      </x:c>
      <x:c r="H33" s="6" t="n">
        <x:v>1360</x:v>
      </x:c>
      <x:c r="I33" t="str">
        <x:v>2025-01-02</x:v>
      </x:c>
      <x:c r="J33" s="8" t="n">
        <x:v>45659.5</x:v>
      </x:c>
      <x:c r="K33" t="n">
        <x:v>2025</x:v>
      </x:c>
      <x:c r="L33" s="6" t="n">
        <x:f>G33-H33</x:f>
        <x:v>-1360</x:v>
      </x:c>
      <x:c r="M33" s="6" t="n">
        <x:f>IF(B33="Hauptliste",G33-IF(AND(ISNUMBER(K33),K33&lt;=2024),H33,0),0)</x:f>
        <x:v>0</x:v>
      </x:c>
      <x:c r="N33" t="str"/>
    </x:row>
    <x:row r="34">
      <x:c r="A34" t="n">
        <x:v>34</x:v>
      </x:c>
      <x:c r="B34" t="str">
        <x:v>Hauptliste</x:v>
      </x:c>
      <x:c r="C34" t="n">
        <x:v>10046</x:v>
      </x:c>
      <x:c r="D34" t="n">
        <x:v>10046</x:v>
      </x:c>
      <x:c r="E34" t="str">
        <x:v>Mathilde Garcia Lopez</x:v>
      </x:c>
      <x:c r="F34" t="str">
        <x:v>2024-150</x:v>
      </x:c>
      <x:c r="G34" s="6" t="n">
        <x:v>944</x:v>
      </x:c>
      <x:c r="H34" s="6" t="n">
        <x:v>0</x:v>
      </x:c>
      <x:c r="I34" t="str"/>
      <x:c r="J34" s="8"/>
      <x:c r="K34"/>
      <x:c r="L34" s="6" t="n">
        <x:f>G34-H34</x:f>
        <x:v>944</x:v>
      </x:c>
      <x:c r="M34" s="6" t="n">
        <x:f>IF(B34="Hauptliste",G34-IF(AND(ISNUMBER(K34),K34&lt;=2024),H34,0),0)</x:f>
        <x:v>944</x:v>
      </x:c>
      <x:c r="N34" t="str"/>
    </x:row>
    <x:row r="35">
      <x:c r="A35" t="n">
        <x:v>36</x:v>
      </x:c>
      <x:c r="B35" t="str">
        <x:v>Hauptliste</x:v>
      </x:c>
      <x:c r="C35" t="n">
        <x:v>10049</x:v>
      </x:c>
      <x:c r="D35" t="n">
        <x:v>10049</x:v>
      </x:c>
      <x:c r="E35" t="str">
        <x:v>Annina Benz</x:v>
      </x:c>
      <x:c r="F35" t="str">
        <x:v>2024-153</x:v>
      </x:c>
      <x:c r="G35" s="6" t="n">
        <x:v>811</x:v>
      </x:c>
      <x:c r="H35" s="6" t="n">
        <x:v>811</x:v>
      </x:c>
      <x:c r="I35" t="str">
        <x:v>2024-05-13</x:v>
      </x:c>
      <x:c r="J35" s="8" t="n">
        <x:v>45425.5</x:v>
      </x:c>
      <x:c r="K35" t="n">
        <x:v>2024</x:v>
      </x:c>
      <x:c r="L35" s="6" t="n">
        <x:f>G35-H35</x:f>
        <x:v>0</x:v>
      </x:c>
      <x:c r="M35" s="6" t="n">
        <x:f>IF(B35="Hauptliste",G35-IF(AND(ISNUMBER(K35),K35&lt;=2024),H35,0),0)</x:f>
        <x:v>0</x:v>
      </x:c>
      <x:c r="N35" t="str"/>
    </x:row>
    <x:row r="36">
      <x:c r="A36" t="n">
        <x:v>37</x:v>
      </x:c>
      <x:c r="B36" t="str">
        <x:v>Hauptliste</x:v>
      </x:c>
      <x:c r="C36"/>
      <x:c r="D36" t="n">
        <x:v>10049</x:v>
      </x:c>
      <x:c r="E36" t="str">
        <x:v>Annina Benz</x:v>
      </x:c>
      <x:c r="F36" t="str">
        <x:v>2024-185</x:v>
      </x:c>
      <x:c r="G36" s="6" t="n">
        <x:v>70</x:v>
      </x:c>
      <x:c r="H36" s="6" t="n">
        <x:v>0</x:v>
      </x:c>
      <x:c r="I36" t="str"/>
      <x:c r="J36" s="8"/>
      <x:c r="K36"/>
      <x:c r="L36" s="6" t="n">
        <x:f>G36-H36</x:f>
        <x:v>70</x:v>
      </x:c>
      <x:c r="M36" s="6" t="n">
        <x:f>IF(B36="Hauptliste",G36-IF(AND(ISNUMBER(K36),K36&lt;=2024),H36,0),0)</x:f>
        <x:v>70</x:v>
      </x:c>
      <x:c r="N36" t="str"/>
    </x:row>
    <x:row r="37">
      <x:c r="A37" t="n">
        <x:v>39</x:v>
      </x:c>
      <x:c r="B37" t="str">
        <x:v>Hauptliste</x:v>
      </x:c>
      <x:c r="C37" t="n">
        <x:v>10050</x:v>
      </x:c>
      <x:c r="D37" t="n">
        <x:v>10050</x:v>
      </x:c>
      <x:c r="E37" t="str">
        <x:v>Dean Krause</x:v>
      </x:c>
      <x:c r="F37" t="str">
        <x:v>2024-154</x:v>
      </x:c>
      <x:c r="G37" s="6" t="n">
        <x:v>1496</x:v>
      </x:c>
      <x:c r="H37" s="6" t="n">
        <x:v>1496</x:v>
      </x:c>
      <x:c r="I37" t="str">
        <x:v>2024-03-01</x:v>
      </x:c>
      <x:c r="J37" s="8" t="n">
        <x:v>45352.5</x:v>
      </x:c>
      <x:c r="K37" t="n">
        <x:v>2024</x:v>
      </x:c>
      <x:c r="L37" s="6" t="n">
        <x:f>G37-H37</x:f>
        <x:v>0</x:v>
      </x:c>
      <x:c r="M37" s="6" t="n">
        <x:f>IF(B37="Hauptliste",G37-IF(AND(ISNUMBER(K37),K37&lt;=2024),H37,0),0)</x:f>
        <x:v>0</x:v>
      </x:c>
      <x:c r="N37" t="str"/>
    </x:row>
    <x:row r="38">
      <x:c r="A38" t="n">
        <x:v>40</x:v>
      </x:c>
      <x:c r="B38" t="str">
        <x:v>Hauptliste</x:v>
      </x:c>
      <x:c r="C38"/>
      <x:c r="D38" t="n">
        <x:v>10050</x:v>
      </x:c>
      <x:c r="E38" t="str">
        <x:v>Dean Krause</x:v>
      </x:c>
      <x:c r="F38" t="str">
        <x:v>2024-254</x:v>
      </x:c>
      <x:c r="G38" s="6" t="n">
        <x:v>138</x:v>
      </x:c>
      <x:c r="H38" s="6" t="n">
        <x:v>0</x:v>
      </x:c>
      <x:c r="I38" t="str"/>
      <x:c r="J38" s="8"/>
      <x:c r="K38"/>
      <x:c r="L38" s="6" t="n">
        <x:f>G38-H38</x:f>
        <x:v>138</x:v>
      </x:c>
      <x:c r="M38" s="6" t="n">
        <x:f>IF(B38="Hauptliste",G38-IF(AND(ISNUMBER(K38),K38&lt;=2024),H38,0),0)</x:f>
        <x:v>138</x:v>
      </x:c>
      <x:c r="N38" t="str"/>
    </x:row>
    <x:row r="39">
      <x:c r="A39" t="n">
        <x:v>42</x:v>
      </x:c>
      <x:c r="B39" t="str">
        <x:v>Hauptliste</x:v>
      </x:c>
      <x:c r="C39" t="n">
        <x:v>10056</x:v>
      </x:c>
      <x:c r="D39" t="n">
        <x:v>10056</x:v>
      </x:c>
      <x:c r="E39" t="str">
        <x:v>Leon Schyma-Hassis</x:v>
      </x:c>
      <x:c r="F39" t="str">
        <x:v>2024-162</x:v>
      </x:c>
      <x:c r="G39" s="6" t="n">
        <x:v>362.7</x:v>
      </x:c>
      <x:c r="H39" s="6" t="n">
        <x:v>362.7</x:v>
      </x:c>
      <x:c r="I39" t="str">
        <x:v>2024-03-12</x:v>
      </x:c>
      <x:c r="J39" s="8" t="n">
        <x:v>45363.5</x:v>
      </x:c>
      <x:c r="K39" t="n">
        <x:v>2024</x:v>
      </x:c>
      <x:c r="L39" s="6" t="n">
        <x:f>G39-H39</x:f>
        <x:v>0</x:v>
      </x:c>
      <x:c r="M39" s="6" t="n">
        <x:f>IF(B39="Hauptliste",G39-IF(AND(ISNUMBER(K39),K39&lt;=2024),H39,0),0)</x:f>
        <x:v>0</x:v>
      </x:c>
      <x:c r="N39" t="str"/>
    </x:row>
    <x:row r="40">
      <x:c r="A40" t="n">
        <x:v>43</x:v>
      </x:c>
      <x:c r="B40" t="str">
        <x:v>Hauptliste</x:v>
      </x:c>
      <x:c r="C40"/>
      <x:c r="D40" t="n">
        <x:v>10056</x:v>
      </x:c>
      <x:c r="E40" t="str">
        <x:v>Leon Schyma-Hassis</x:v>
      </x:c>
      <x:c r="F40" t="str">
        <x:v>2024-162</x:v>
      </x:c>
      <x:c r="G40" s="6" t="n">
        <x:v>-362.7</x:v>
      </x:c>
      <x:c r="H40" s="6" t="n">
        <x:v>0</x:v>
      </x:c>
      <x:c r="I40" t="str"/>
      <x:c r="J40" s="8"/>
      <x:c r="K40"/>
      <x:c r="L40" s="6" t="n">
        <x:f>G40-H40</x:f>
        <x:v>-362.7</x:v>
      </x:c>
      <x:c r="M40" s="6" t="n">
        <x:f>IF(B40="Hauptliste",G40-IF(AND(ISNUMBER(K40),K40&lt;=2024),H40,0),0)</x:f>
        <x:v>-362.7</x:v>
      </x:c>
      <x:c r="N40" t="str"/>
    </x:row>
    <x:row r="41">
      <x:c r="A41" t="n">
        <x:v>45</x:v>
      </x:c>
      <x:c r="B41" t="str">
        <x:v>Hauptliste</x:v>
      </x:c>
      <x:c r="C41" t="n">
        <x:v>10059</x:v>
      </x:c>
      <x:c r="D41" t="n">
        <x:v>10059</x:v>
      </x:c>
      <x:c r="E41" t="str">
        <x:v>Devin Searcy</x:v>
      </x:c>
      <x:c r="F41" t="str">
        <x:v>2024-165</x:v>
      </x:c>
      <x:c r="G41" s="6" t="n">
        <x:v>472.5</x:v>
      </x:c>
      <x:c r="H41" s="6" t="n">
        <x:v>0</x:v>
      </x:c>
      <x:c r="I41" t="str"/>
      <x:c r="J41" s="8"/>
      <x:c r="K41"/>
      <x:c r="L41" s="6" t="n">
        <x:f>G41-H41</x:f>
        <x:v>472.5</x:v>
      </x:c>
      <x:c r="M41" s="6" t="n">
        <x:f>IF(B41="Hauptliste",G41-IF(AND(ISNUMBER(K41),K41&lt;=2024),H41,0),0)</x:f>
        <x:v>472.5</x:v>
      </x:c>
      <x:c r="N41" t="str"/>
    </x:row>
    <x:row r="42">
      <x:c r="A42" t="n">
        <x:v>47</x:v>
      </x:c>
      <x:c r="B42" t="str">
        <x:v>Hauptliste</x:v>
      </x:c>
      <x:c r="C42" t="n">
        <x:v>10065</x:v>
      </x:c>
      <x:c r="D42" t="n">
        <x:v>10065</x:v>
      </x:c>
      <x:c r="E42" t="str">
        <x:v>Annalena Baumgärnter</x:v>
      </x:c>
      <x:c r="F42" t="str">
        <x:v>2024-171</x:v>
      </x:c>
      <x:c r="G42" s="6" t="n">
        <x:v>332</x:v>
      </x:c>
      <x:c r="H42" s="6" t="n">
        <x:v>332</x:v>
      </x:c>
      <x:c r="I42" t="str">
        <x:v>2024-03-28</x:v>
      </x:c>
      <x:c r="J42" s="8" t="n">
        <x:v>45379.5</x:v>
      </x:c>
      <x:c r="K42" t="n">
        <x:v>2024</x:v>
      </x:c>
      <x:c r="L42" s="6" t="n">
        <x:f>G42-H42</x:f>
        <x:v>0</x:v>
      </x:c>
      <x:c r="M42" s="6" t="n">
        <x:f>IF(B42="Hauptliste",G42-IF(AND(ISNUMBER(K42),K42&lt;=2024),H42,0),0)</x:f>
        <x:v>0</x:v>
      </x:c>
      <x:c r="N42" t="str"/>
    </x:row>
    <x:row r="43">
      <x:c r="A43" t="n">
        <x:v>48</x:v>
      </x:c>
      <x:c r="B43" t="str">
        <x:v>Hauptliste</x:v>
      </x:c>
      <x:c r="C43"/>
      <x:c r="D43" t="n">
        <x:v>10065</x:v>
      </x:c>
      <x:c r="E43" t="str">
        <x:v>Annalena Baumgärnter</x:v>
      </x:c>
      <x:c r="F43" t="str">
        <x:v>2024-285</x:v>
      </x:c>
      <x:c r="G43" s="6" t="n">
        <x:v>30</x:v>
      </x:c>
      <x:c r="H43" s="6" t="n">
        <x:v>0</x:v>
      </x:c>
      <x:c r="I43" t="str"/>
      <x:c r="J43" s="8"/>
      <x:c r="K43"/>
      <x:c r="L43" s="6" t="n">
        <x:f>G43-H43</x:f>
        <x:v>30</x:v>
      </x:c>
      <x:c r="M43" s="6" t="n">
        <x:f>IF(B43="Hauptliste",G43-IF(AND(ISNUMBER(K43),K43&lt;=2024),H43,0),0)</x:f>
        <x:v>30</x:v>
      </x:c>
      <x:c r="N43" t="str"/>
    </x:row>
    <x:row r="44">
      <x:c r="A44" t="n">
        <x:v>50</x:v>
      </x:c>
      <x:c r="B44" t="str">
        <x:v>Hauptliste</x:v>
      </x:c>
      <x:c r="C44" t="n">
        <x:v>10068</x:v>
      </x:c>
      <x:c r="D44" t="n">
        <x:v>10068</x:v>
      </x:c>
      <x:c r="E44" t="str">
        <x:v>Anna Herzog</x:v>
      </x:c>
      <x:c r="F44" t="str">
        <x:v>2024-174</x:v>
      </x:c>
      <x:c r="G44" s="6" t="n">
        <x:v>16400</x:v>
      </x:c>
      <x:c r="H44" s="6" t="n">
        <x:v>6560</x:v>
      </x:c>
      <x:c r="I44" t="str">
        <x:v>11.04.024</x:v>
      </x:c>
      <x:c r="J44" s="8" t="n">
        <x:v>45393.5</x:v>
      </x:c>
      <x:c r="K44" t="n">
        <x:v>2024</x:v>
      </x:c>
      <x:c r="L44" s="6" t="n">
        <x:f>G44-H44</x:f>
        <x:v>9840</x:v>
      </x:c>
      <x:c r="M44" s="6" t="n">
        <x:f>IF(B44="Hauptliste",G44-IF(AND(ISNUMBER(K44),K44&lt;=2024),H44,0),0)</x:f>
        <x:v>9840</x:v>
      </x:c>
      <x:c r="N44" t="str">
        <x:v>Datumsfehler in Quelle; DATEV zeigt Zahlung am 11.04.2024.</x:v>
      </x:c>
    </x:row>
    <x:row r="45">
      <x:c r="A45" t="n">
        <x:v>51</x:v>
      </x:c>
      <x:c r="B45" t="str">
        <x:v>Hauptliste</x:v>
      </x:c>
      <x:c r="C45"/>
      <x:c r="D45" t="n">
        <x:v>10068</x:v>
      </x:c>
      <x:c r="E45" t="str">
        <x:v>Anna Herzog</x:v>
      </x:c>
      <x:c r="F45" t="str"/>
      <x:c r="G45" s="6" t="n">
        <x:v>0</x:v>
      </x:c>
      <x:c r="H45" s="6" t="n">
        <x:v>9840</x:v>
      </x:c>
      <x:c r="I45" t="str">
        <x:v>2024-06-19</x:v>
      </x:c>
      <x:c r="J45" s="8" t="n">
        <x:v>45462.5</x:v>
      </x:c>
      <x:c r="K45" t="n">
        <x:v>2024</x:v>
      </x:c>
      <x:c r="L45" s="6" t="n">
        <x:f>G45-H45</x:f>
        <x:v>-9840</x:v>
      </x:c>
      <x:c r="M45" s="6" t="n">
        <x:f>IF(B45="Hauptliste",G45-IF(AND(ISNUMBER(K45),K45&lt;=2024),H45,0),0)</x:f>
        <x:v>-9840</x:v>
      </x:c>
      <x:c r="N45" t="str"/>
    </x:row>
    <x:row r="46">
      <x:c r="A46" t="n">
        <x:v>52</x:v>
      </x:c>
      <x:c r="B46" t="str">
        <x:v>Hauptliste</x:v>
      </x:c>
      <x:c r="C46"/>
      <x:c r="D46" t="n">
        <x:v>10068</x:v>
      </x:c>
      <x:c r="E46" t="str">
        <x:v>Anna Herzog</x:v>
      </x:c>
      <x:c r="F46" t="str">
        <x:v>2024-209</x:v>
      </x:c>
      <x:c r="G46" s="6" t="n">
        <x:v>1400</x:v>
      </x:c>
      <x:c r="H46" s="6" t="n">
        <x:v>280</x:v>
      </x:c>
      <x:c r="I46" t="str">
        <x:v>2024-06-17</x:v>
      </x:c>
      <x:c r="J46" s="8" t="n">
        <x:v>45460.5</x:v>
      </x:c>
      <x:c r="K46" t="n">
        <x:v>2024</x:v>
      </x:c>
      <x:c r="L46" s="6" t="n">
        <x:f>G46-H46</x:f>
        <x:v>1120</x:v>
      </x:c>
      <x:c r="M46" s="6" t="n">
        <x:f>IF(B46="Hauptliste",G46-IF(AND(ISNUMBER(K46),K46&lt;=2024),H46,0),0)</x:f>
        <x:v>1120</x:v>
      </x:c>
      <x:c r="N46" t="str"/>
    </x:row>
    <x:row r="47">
      <x:c r="A47" t="n">
        <x:v>53</x:v>
      </x:c>
      <x:c r="B47" t="str">
        <x:v>Hauptliste</x:v>
      </x:c>
      <x:c r="C47"/>
      <x:c r="D47" t="n">
        <x:v>10068</x:v>
      </x:c>
      <x:c r="E47" t="str">
        <x:v>Anna Herzog</x:v>
      </x:c>
      <x:c r="F47" t="str"/>
      <x:c r="G47" s="6" t="n">
        <x:v>0</x:v>
      </x:c>
      <x:c r="H47" s="6" t="n">
        <x:v>1120</x:v>
      </x:c>
      <x:c r="I47" t="str">
        <x:v>2025-02-24</x:v>
      </x:c>
      <x:c r="J47" s="8" t="n">
        <x:v>45712.5</x:v>
      </x:c>
      <x:c r="K47" t="n">
        <x:v>2025</x:v>
      </x:c>
      <x:c r="L47" s="6" t="n">
        <x:f>G47-H47</x:f>
        <x:v>-1120</x:v>
      </x:c>
      <x:c r="M47" s="6" t="n">
        <x:f>IF(B47="Hauptliste",G47-IF(AND(ISNUMBER(K47),K47&lt;=2024),H47,0),0)</x:f>
        <x:v>0</x:v>
      </x:c>
      <x:c r="N47" t="str"/>
    </x:row>
    <x:row r="48">
      <x:c r="A48" t="n">
        <x:v>54</x:v>
      </x:c>
      <x:c r="B48" t="str">
        <x:v>Hauptliste</x:v>
      </x:c>
      <x:c r="C48"/>
      <x:c r="D48" t="n">
        <x:v>10068</x:v>
      </x:c>
      <x:c r="E48" t="str">
        <x:v>Anna Herzog</x:v>
      </x:c>
      <x:c r="F48" t="str">
        <x:v>2024-289</x:v>
      </x:c>
      <x:c r="G48" s="6" t="n">
        <x:v>380</x:v>
      </x:c>
      <x:c r="H48" s="6" t="n">
        <x:v>380</x:v>
      </x:c>
      <x:c r="I48" t="str">
        <x:v>2024-08-30</x:v>
      </x:c>
      <x:c r="J48" s="8" t="n">
        <x:v>45534.5</x:v>
      </x:c>
      <x:c r="K48" t="n">
        <x:v>2024</x:v>
      </x:c>
      <x:c r="L48" s="6" t="n">
        <x:f>G48-H48</x:f>
        <x:v>0</x:v>
      </x:c>
      <x:c r="M48" s="6" t="n">
        <x:f>IF(B48="Hauptliste",G48-IF(AND(ISNUMBER(K48),K48&lt;=2024),H48,0),0)</x:f>
        <x:v>0</x:v>
      </x:c>
      <x:c r="N48" t="str"/>
    </x:row>
    <x:row r="49">
      <x:c r="A49" t="n">
        <x:v>55</x:v>
      </x:c>
      <x:c r="B49" t="str">
        <x:v>Hauptliste</x:v>
      </x:c>
      <x:c r="C49"/>
      <x:c r="D49" t="n">
        <x:v>10068</x:v>
      </x:c>
      <x:c r="E49" t="str">
        <x:v>Anna Herzog</x:v>
      </x:c>
      <x:c r="F49" t="str">
        <x:v>2024-340</x:v>
      </x:c>
      <x:c r="G49" s="6" t="n">
        <x:v>890</x:v>
      </x:c>
      <x:c r="H49" s="6" t="n">
        <x:v>890</x:v>
      </x:c>
      <x:c r="I49" t="str">
        <x:v>2024-11-18</x:v>
      </x:c>
      <x:c r="J49" s="8" t="n">
        <x:v>45614.5</x:v>
      </x:c>
      <x:c r="K49" t="n">
        <x:v>2024</x:v>
      </x:c>
      <x:c r="L49" s="6" t="n">
        <x:f>G49-H49</x:f>
        <x:v>0</x:v>
      </x:c>
      <x:c r="M49" s="6" t="n">
        <x:f>IF(B49="Hauptliste",G49-IF(AND(ISNUMBER(K49),K49&lt;=2024),H49,0),0)</x:f>
        <x:v>0</x:v>
      </x:c>
      <x:c r="N49" t="str"/>
    </x:row>
    <x:row r="50">
      <x:c r="A50" t="n">
        <x:v>57</x:v>
      </x:c>
      <x:c r="B50" t="str">
        <x:v>Hauptliste</x:v>
      </x:c>
      <x:c r="C50" t="n">
        <x:v>10069</x:v>
      </x:c>
      <x:c r="D50" t="n">
        <x:v>10069</x:v>
      </x:c>
      <x:c r="E50" t="str">
        <x:v>Zahlungseingänge 2023</x:v>
      </x:c>
      <x:c r="F50" t="str"/>
      <x:c r="G50" s="6" t="n">
        <x:v>149039.72</x:v>
      </x:c>
      <x:c r="H50" s="6" t="n">
        <x:v>0</x:v>
      </x:c>
      <x:c r="I50" t="str"/>
      <x:c r="J50" s="8"/>
      <x:c r="K50"/>
      <x:c r="L50" s="6" t="n">
        <x:f>G50-H50</x:f>
        <x:v>149039.72</x:v>
      </x:c>
      <x:c r="M50" s="6" t="n">
        <x:f>IF(B50="Hauptliste",G50-IF(AND(ISNUMBER(K50),K50&lt;=2024),H50,0),0)</x:f>
        <x:v>149039.72</x:v>
      </x:c>
      <x:c r="N50" t="str"/>
    </x:row>
    <x:row r="51">
      <x:c r="A51" t="n">
        <x:v>58</x:v>
      </x:c>
      <x:c r="B51" t="str">
        <x:v>Hauptliste</x:v>
      </x:c>
      <x:c r="C51"/>
      <x:c r="D51" t="n">
        <x:v>10069</x:v>
      </x:c>
      <x:c r="E51" t="str">
        <x:v>Zahlungseingänge 2023</x:v>
      </x:c>
      <x:c r="F51" t="str">
        <x:v>2023-147</x:v>
      </x:c>
      <x:c r="G51" s="6" t="n">
        <x:v>0</x:v>
      </x:c>
      <x:c r="H51" s="6" t="n">
        <x:v>950</x:v>
      </x:c>
      <x:c r="I51" t="str">
        <x:v>2024-01-02</x:v>
      </x:c>
      <x:c r="J51" s="8" t="n">
        <x:v>45293.5</x:v>
      </x:c>
      <x:c r="K51" t="n">
        <x:v>2024</x:v>
      </x:c>
      <x:c r="L51" s="6" t="n">
        <x:f>G51-H51</x:f>
        <x:v>-950</x:v>
      </x:c>
      <x:c r="M51" s="6" t="n">
        <x:f>IF(B51="Hauptliste",G51-IF(AND(ISNUMBER(K51),K51&lt;=2024),H51,0),0)</x:f>
        <x:v>-950</x:v>
      </x:c>
      <x:c r="N51" t="str"/>
    </x:row>
    <x:row r="52">
      <x:c r="A52" t="n">
        <x:v>59</x:v>
      </x:c>
      <x:c r="B52" t="str">
        <x:v>Hauptliste</x:v>
      </x:c>
      <x:c r="C52"/>
      <x:c r="D52" t="n">
        <x:v>10069</x:v>
      </x:c>
      <x:c r="E52" t="str">
        <x:v>Zahlungseingänge 2023</x:v>
      </x:c>
      <x:c r="F52" t="str">
        <x:v>2023-421</x:v>
      </x:c>
      <x:c r="G52" s="6" t="n">
        <x:v>0</x:v>
      </x:c>
      <x:c r="H52" s="6" t="n">
        <x:v>345</x:v>
      </x:c>
      <x:c r="I52" t="str">
        <x:v>2024-01-02</x:v>
      </x:c>
      <x:c r="J52" s="8" t="n">
        <x:v>45293.5</x:v>
      </x:c>
      <x:c r="K52" t="n">
        <x:v>2024</x:v>
      </x:c>
      <x:c r="L52" s="6" t="n">
        <x:f>G52-H52</x:f>
        <x:v>-345</x:v>
      </x:c>
      <x:c r="M52" s="6" t="n">
        <x:f>IF(B52="Hauptliste",G52-IF(AND(ISNUMBER(K52),K52&lt;=2024),H52,0),0)</x:f>
        <x:v>-345</x:v>
      </x:c>
      <x:c r="N52" t="str"/>
    </x:row>
    <x:row r="53">
      <x:c r="A53" t="n">
        <x:v>60</x:v>
      </x:c>
      <x:c r="B53" t="str">
        <x:v>Hauptliste</x:v>
      </x:c>
      <x:c r="C53"/>
      <x:c r="D53" t="n">
        <x:v>10069</x:v>
      </x:c>
      <x:c r="E53" t="str">
        <x:v>Zahlungseingänge 2023</x:v>
      </x:c>
      <x:c r="F53" t="str">
        <x:v>2023-418</x:v>
      </x:c>
      <x:c r="G53" s="6" t="n">
        <x:v>0</x:v>
      </x:c>
      <x:c r="H53" s="6" t="n">
        <x:v>2250</x:v>
      </x:c>
      <x:c r="I53" t="str">
        <x:v>2024-01-03</x:v>
      </x:c>
      <x:c r="J53" s="8" t="n">
        <x:v>45294.5</x:v>
      </x:c>
      <x:c r="K53" t="n">
        <x:v>2024</x:v>
      </x:c>
      <x:c r="L53" s="6" t="n">
        <x:f>G53-H53</x:f>
        <x:v>-2250</x:v>
      </x:c>
      <x:c r="M53" s="6" t="n">
        <x:f>IF(B53="Hauptliste",G53-IF(AND(ISNUMBER(K53),K53&lt;=2024),H53,0),0)</x:f>
        <x:v>-2250</x:v>
      </x:c>
      <x:c r="N53" t="str"/>
    </x:row>
    <x:row r="54">
      <x:c r="A54" t="n">
        <x:v>61</x:v>
      </x:c>
      <x:c r="B54" t="str">
        <x:v>Hauptliste</x:v>
      </x:c>
      <x:c r="C54"/>
      <x:c r="D54" t="n">
        <x:v>10069</x:v>
      </x:c>
      <x:c r="E54" t="str">
        <x:v>Zahlungseingänge 2023</x:v>
      </x:c>
      <x:c r="F54" t="str">
        <x:v>2023-416</x:v>
      </x:c>
      <x:c r="G54" s="6" t="n">
        <x:v>0</x:v>
      </x:c>
      <x:c r="H54" s="6" t="n">
        <x:v>990</x:v>
      </x:c>
      <x:c r="I54" t="str">
        <x:v>2024-01-03</x:v>
      </x:c>
      <x:c r="J54" s="8" t="n">
        <x:v>45294.5</x:v>
      </x:c>
      <x:c r="K54" t="n">
        <x:v>2024</x:v>
      </x:c>
      <x:c r="L54" s="6" t="n">
        <x:f>G54-H54</x:f>
        <x:v>-990</x:v>
      </x:c>
      <x:c r="M54" s="6" t="n">
        <x:f>IF(B54="Hauptliste",G54-IF(AND(ISNUMBER(K54),K54&lt;=2024),H54,0),0)</x:f>
        <x:v>-990</x:v>
      </x:c>
      <x:c r="N54" t="str"/>
    </x:row>
    <x:row r="55">
      <x:c r="A55" t="n">
        <x:v>62</x:v>
      </x:c>
      <x:c r="B55" t="str">
        <x:v>Hauptliste</x:v>
      </x:c>
      <x:c r="C55"/>
      <x:c r="D55" t="n">
        <x:v>10069</x:v>
      </x:c>
      <x:c r="E55" t="str">
        <x:v>Zahlungseingänge 2023</x:v>
      </x:c>
      <x:c r="F55" t="str">
        <x:v>2023-401</x:v>
      </x:c>
      <x:c r="G55" s="6" t="n">
        <x:v>0</x:v>
      </x:c>
      <x:c r="H55" s="6" t="n">
        <x:v>789.6</x:v>
      </x:c>
      <x:c r="I55" t="str">
        <x:v>2024-01-04</x:v>
      </x:c>
      <x:c r="J55" s="8" t="n">
        <x:v>45295.5</x:v>
      </x:c>
      <x:c r="K55" t="n">
        <x:v>2024</x:v>
      </x:c>
      <x:c r="L55" s="6" t="n">
        <x:f>G55-H55</x:f>
        <x:v>-789.6</x:v>
      </x:c>
      <x:c r="M55" s="6" t="n">
        <x:f>IF(B55="Hauptliste",G55-IF(AND(ISNUMBER(K55),K55&lt;=2024),H55,0),0)</x:f>
        <x:v>-789.6</x:v>
      </x:c>
      <x:c r="N55" t="str"/>
    </x:row>
    <x:row r="56">
      <x:c r="A56" t="n">
        <x:v>63</x:v>
      </x:c>
      <x:c r="B56" t="str">
        <x:v>Hauptliste</x:v>
      </x:c>
      <x:c r="C56"/>
      <x:c r="D56" t="n">
        <x:v>10069</x:v>
      </x:c>
      <x:c r="E56" t="str">
        <x:v>Zahlungseingänge 2023</x:v>
      </x:c>
      <x:c r="F56" t="str">
        <x:v>2023-419</x:v>
      </x:c>
      <x:c r="G56" s="6" t="n">
        <x:v>0</x:v>
      </x:c>
      <x:c r="H56" s="6" t="n">
        <x:v>475</x:v>
      </x:c>
      <x:c r="I56" t="str">
        <x:v>2024-01-05</x:v>
      </x:c>
      <x:c r="J56" s="8" t="n">
        <x:v>45296.5</x:v>
      </x:c>
      <x:c r="K56" t="n">
        <x:v>2024</x:v>
      </x:c>
      <x:c r="L56" s="6" t="n">
        <x:f>G56-H56</x:f>
        <x:v>-475</x:v>
      </x:c>
      <x:c r="M56" s="6" t="n">
        <x:f>IF(B56="Hauptliste",G56-IF(AND(ISNUMBER(K56),K56&lt;=2024),H56,0),0)</x:f>
        <x:v>-475</x:v>
      </x:c>
      <x:c r="N56" t="str"/>
    </x:row>
    <x:row r="57">
      <x:c r="A57" t="n">
        <x:v>64</x:v>
      </x:c>
      <x:c r="B57" t="str">
        <x:v>Hauptliste</x:v>
      </x:c>
      <x:c r="C57"/>
      <x:c r="D57" t="n">
        <x:v>10069</x:v>
      </x:c>
      <x:c r="E57" t="str">
        <x:v>Zahlungseingänge 2023</x:v>
      </x:c>
      <x:c r="F57" t="str">
        <x:v>2023-402</x:v>
      </x:c>
      <x:c r="G57" s="6" t="n">
        <x:v>0</x:v>
      </x:c>
      <x:c r="H57" s="6" t="n">
        <x:v>6000</x:v>
      </x:c>
      <x:c r="I57" t="str">
        <x:v>2024-01-05</x:v>
      </x:c>
      <x:c r="J57" s="8" t="n">
        <x:v>45296.5</x:v>
      </x:c>
      <x:c r="K57" t="n">
        <x:v>2024</x:v>
      </x:c>
      <x:c r="L57" s="6" t="n">
        <x:f>G57-H57</x:f>
        <x:v>-6000</x:v>
      </x:c>
      <x:c r="M57" s="6" t="n">
        <x:f>IF(B57="Hauptliste",G57-IF(AND(ISNUMBER(K57),K57&lt;=2024),H57,0),0)</x:f>
        <x:v>-6000</x:v>
      </x:c>
      <x:c r="N57" t="str"/>
    </x:row>
    <x:row r="58">
      <x:c r="A58" t="n">
        <x:v>65</x:v>
      </x:c>
      <x:c r="B58" t="str">
        <x:v>Hauptliste</x:v>
      </x:c>
      <x:c r="C58"/>
      <x:c r="D58" t="n">
        <x:v>10069</x:v>
      </x:c>
      <x:c r="E58" t="str">
        <x:v>Zahlungseingänge 2023</x:v>
      </x:c>
      <x:c r="F58" t="str">
        <x:v>2023-391</x:v>
      </x:c>
      <x:c r="G58" s="6" t="n">
        <x:v>0</x:v>
      </x:c>
      <x:c r="H58" s="6" t="n">
        <x:v>792</x:v>
      </x:c>
      <x:c r="I58" t="str">
        <x:v>2024-01-05</x:v>
      </x:c>
      <x:c r="J58" s="8" t="n">
        <x:v>45296.5</x:v>
      </x:c>
      <x:c r="K58" t="n">
        <x:v>2024</x:v>
      </x:c>
      <x:c r="L58" s="6" t="n">
        <x:f>G58-H58</x:f>
        <x:v>-792</x:v>
      </x:c>
      <x:c r="M58" s="6" t="n">
        <x:f>IF(B58="Hauptliste",G58-IF(AND(ISNUMBER(K58),K58&lt;=2024),H58,0),0)</x:f>
        <x:v>-792</x:v>
      </x:c>
      <x:c r="N58" t="str"/>
    </x:row>
    <x:row r="59">
      <x:c r="A59" t="n">
        <x:v>66</x:v>
      </x:c>
      <x:c r="B59" t="str">
        <x:v>Hauptliste</x:v>
      </x:c>
      <x:c r="C59"/>
      <x:c r="D59" t="n">
        <x:v>10069</x:v>
      </x:c>
      <x:c r="E59" t="str">
        <x:v>Zahlungseingänge 2023</x:v>
      </x:c>
      <x:c r="F59" t="str">
        <x:v>2023-408</x:v>
      </x:c>
      <x:c r="G59" s="6" t="n">
        <x:v>0</x:v>
      </x:c>
      <x:c r="H59" s="6" t="n">
        <x:v>356</x:v>
      </x:c>
      <x:c r="I59" t="str">
        <x:v>2024-01-08</x:v>
      </x:c>
      <x:c r="J59" s="8" t="n">
        <x:v>45299.5</x:v>
      </x:c>
      <x:c r="K59" t="n">
        <x:v>2024</x:v>
      </x:c>
      <x:c r="L59" s="6" t="n">
        <x:f>G59-H59</x:f>
        <x:v>-356</x:v>
      </x:c>
      <x:c r="M59" s="6" t="n">
        <x:f>IF(B59="Hauptliste",G59-IF(AND(ISNUMBER(K59),K59&lt;=2024),H59,0),0)</x:f>
        <x:v>-356</x:v>
      </x:c>
      <x:c r="N59" t="str"/>
    </x:row>
    <x:row r="60">
      <x:c r="A60" t="n">
        <x:v>67</x:v>
      </x:c>
      <x:c r="B60" t="str">
        <x:v>Hauptliste</x:v>
      </x:c>
      <x:c r="C60"/>
      <x:c r="D60" t="n">
        <x:v>10069</x:v>
      </x:c>
      <x:c r="E60" t="str">
        <x:v>Zahlungseingänge 2023</x:v>
      </x:c>
      <x:c r="F60" t="str">
        <x:v>2023-402</x:v>
      </x:c>
      <x:c r="G60" s="6" t="n">
        <x:v>0</x:v>
      </x:c>
      <x:c r="H60" s="6" t="n">
        <x:v>2000</x:v>
      </x:c>
      <x:c r="I60" t="str">
        <x:v>2024-01-08</x:v>
      </x:c>
      <x:c r="J60" s="8" t="n">
        <x:v>45299.5</x:v>
      </x:c>
      <x:c r="K60" t="n">
        <x:v>2024</x:v>
      </x:c>
      <x:c r="L60" s="6" t="n">
        <x:f>G60-H60</x:f>
        <x:v>-2000</x:v>
      </x:c>
      <x:c r="M60" s="6" t="n">
        <x:f>IF(B60="Hauptliste",G60-IF(AND(ISNUMBER(K60),K60&lt;=2024),H60,0),0)</x:f>
        <x:v>-2000</x:v>
      </x:c>
      <x:c r="N60" t="str"/>
    </x:row>
    <x:row r="61">
      <x:c r="A61" t="n">
        <x:v>68</x:v>
      </x:c>
      <x:c r="B61" t="str">
        <x:v>Hauptliste</x:v>
      </x:c>
      <x:c r="C61"/>
      <x:c r="D61" t="n">
        <x:v>10069</x:v>
      </x:c>
      <x:c r="E61" t="str">
        <x:v>Zahlungseingänge 2023</x:v>
      </x:c>
      <x:c r="F61" t="str">
        <x:v>2023-402</x:v>
      </x:c>
      <x:c r="G61" s="6" t="n">
        <x:v>0</x:v>
      </x:c>
      <x:c r="H61" s="6" t="n">
        <x:v>1330</x:v>
      </x:c>
      <x:c r="I61" t="str">
        <x:v>2024-01-08</x:v>
      </x:c>
      <x:c r="J61" s="8" t="n">
        <x:v>45299.5</x:v>
      </x:c>
      <x:c r="K61" t="n">
        <x:v>2024</x:v>
      </x:c>
      <x:c r="L61" s="6" t="n">
        <x:f>G61-H61</x:f>
        <x:v>-1330</x:v>
      </x:c>
      <x:c r="M61" s="6" t="n">
        <x:f>IF(B61="Hauptliste",G61-IF(AND(ISNUMBER(K61),K61&lt;=2024),H61,0),0)</x:f>
        <x:v>-1330</x:v>
      </x:c>
      <x:c r="N61" t="str"/>
    </x:row>
    <x:row r="62">
      <x:c r="A62" t="n">
        <x:v>69</x:v>
      </x:c>
      <x:c r="B62" t="str">
        <x:v>Hauptliste</x:v>
      </x:c>
      <x:c r="C62"/>
      <x:c r="D62" t="n">
        <x:v>10069</x:v>
      </x:c>
      <x:c r="E62" t="str">
        <x:v>Zahlungseingänge 2023</x:v>
      </x:c>
      <x:c r="F62" t="str">
        <x:v>2023-414</x:v>
      </x:c>
      <x:c r="G62" s="6" t="n">
        <x:v>0</x:v>
      </x:c>
      <x:c r="H62" s="6" t="n">
        <x:v>1824</x:v>
      </x:c>
      <x:c r="I62" t="str">
        <x:v>2024-01-15</x:v>
      </x:c>
      <x:c r="J62" s="8" t="n">
        <x:v>45306.5</x:v>
      </x:c>
      <x:c r="K62" t="n">
        <x:v>2024</x:v>
      </x:c>
      <x:c r="L62" s="6" t="n">
        <x:f>G62-H62</x:f>
        <x:v>-1824</x:v>
      </x:c>
      <x:c r="M62" s="6" t="n">
        <x:f>IF(B62="Hauptliste",G62-IF(AND(ISNUMBER(K62),K62&lt;=2024),H62,0),0)</x:f>
        <x:v>-1824</x:v>
      </x:c>
      <x:c r="N62" t="str"/>
    </x:row>
    <x:row r="63">
      <x:c r="A63" t="n">
        <x:v>70</x:v>
      </x:c>
      <x:c r="B63" t="str">
        <x:v>Hauptliste</x:v>
      </x:c>
      <x:c r="C63"/>
      <x:c r="D63" t="n">
        <x:v>10069</x:v>
      </x:c>
      <x:c r="E63" t="str">
        <x:v>Zahlungseingänge 2023</x:v>
      </x:c>
      <x:c r="F63" t="str">
        <x:v>2023-421</x:v>
      </x:c>
      <x:c r="G63" s="6" t="n">
        <x:v>0</x:v>
      </x:c>
      <x:c r="H63" s="6" t="n">
        <x:v>883.5</x:v>
      </x:c>
      <x:c r="I63" t="str">
        <x:v>2024-01-18</x:v>
      </x:c>
      <x:c r="J63" s="8" t="n">
        <x:v>45309.5</x:v>
      </x:c>
      <x:c r="K63" t="n">
        <x:v>2024</x:v>
      </x:c>
      <x:c r="L63" s="6" t="n">
        <x:f>G63-H63</x:f>
        <x:v>-883.5</x:v>
      </x:c>
      <x:c r="M63" s="6" t="n">
        <x:f>IF(B63="Hauptliste",G63-IF(AND(ISNUMBER(K63),K63&lt;=2024),H63,0),0)</x:f>
        <x:v>-883.5</x:v>
      </x:c>
      <x:c r="N63" t="str"/>
    </x:row>
    <x:row r="64">
      <x:c r="A64" t="n">
        <x:v>71</x:v>
      </x:c>
      <x:c r="B64" t="str">
        <x:v>Hauptliste</x:v>
      </x:c>
      <x:c r="C64"/>
      <x:c r="D64" t="n">
        <x:v>10069</x:v>
      </x:c>
      <x:c r="E64" t="str">
        <x:v>Zahlungseingänge 2023</x:v>
      </x:c>
      <x:c r="F64" t="str">
        <x:v>2023-415</x:v>
      </x:c>
      <x:c r="G64" s="6" t="n">
        <x:v>0</x:v>
      </x:c>
      <x:c r="H64" s="6" t="n">
        <x:v>1186</x:v>
      </x:c>
      <x:c r="I64" t="str">
        <x:v>2024-01-18</x:v>
      </x:c>
      <x:c r="J64" s="8" t="n">
        <x:v>45309.5</x:v>
      </x:c>
      <x:c r="K64" t="n">
        <x:v>2024</x:v>
      </x:c>
      <x:c r="L64" s="6" t="n">
        <x:f>G64-H64</x:f>
        <x:v>-1186</x:v>
      </x:c>
      <x:c r="M64" s="6" t="n">
        <x:f>IF(B64="Hauptliste",G64-IF(AND(ISNUMBER(K64),K64&lt;=2024),H64,0),0)</x:f>
        <x:v>-1186</x:v>
      </x:c>
      <x:c r="N64" t="str"/>
    </x:row>
    <x:row r="65">
      <x:c r="A65" t="n">
        <x:v>72</x:v>
      </x:c>
      <x:c r="B65" t="str">
        <x:v>Hauptliste</x:v>
      </x:c>
      <x:c r="C65"/>
      <x:c r="D65" t="n">
        <x:v>10069</x:v>
      </x:c>
      <x:c r="E65" t="str">
        <x:v>Zahlungseingänge 2023</x:v>
      </x:c>
      <x:c r="F65" t="str">
        <x:v>2023-409</x:v>
      </x:c>
      <x:c r="G65" s="6" t="n">
        <x:v>0</x:v>
      </x:c>
      <x:c r="H65" s="6" t="n">
        <x:v>1080</x:v>
      </x:c>
      <x:c r="I65" t="str">
        <x:v>2024-01-18</x:v>
      </x:c>
      <x:c r="J65" s="8" t="n">
        <x:v>45309.5</x:v>
      </x:c>
      <x:c r="K65" t="n">
        <x:v>2024</x:v>
      </x:c>
      <x:c r="L65" s="6" t="n">
        <x:f>G65-H65</x:f>
        <x:v>-1080</x:v>
      </x:c>
      <x:c r="M65" s="6" t="n">
        <x:f>IF(B65="Hauptliste",G65-IF(AND(ISNUMBER(K65),K65&lt;=2024),H65,0),0)</x:f>
        <x:v>-1080</x:v>
      </x:c>
      <x:c r="N65" t="str"/>
    </x:row>
    <x:row r="66">
      <x:c r="A66" t="n">
        <x:v>73</x:v>
      </x:c>
      <x:c r="B66" t="str">
        <x:v>Hauptliste</x:v>
      </x:c>
      <x:c r="C66"/>
      <x:c r="D66" t="n">
        <x:v>10069</x:v>
      </x:c>
      <x:c r="E66" t="str">
        <x:v>Zahlungseingänge 2023</x:v>
      </x:c>
      <x:c r="F66" t="str">
        <x:v>2023-379</x:v>
      </x:c>
      <x:c r="G66" s="6" t="n">
        <x:v>0</x:v>
      </x:c>
      <x:c r="H66" s="6" t="n">
        <x:v>1112</x:v>
      </x:c>
      <x:c r="I66" t="str">
        <x:v>2024-01-25</x:v>
      </x:c>
      <x:c r="J66" s="8" t="n">
        <x:v>45316.5</x:v>
      </x:c>
      <x:c r="K66" t="n">
        <x:v>2024</x:v>
      </x:c>
      <x:c r="L66" s="6" t="n">
        <x:f>G66-H66</x:f>
        <x:v>-1112</x:v>
      </x:c>
      <x:c r="M66" s="6" t="n">
        <x:f>IF(B66="Hauptliste",G66-IF(AND(ISNUMBER(K66),K66&lt;=2024),H66,0),0)</x:f>
        <x:v>-1112</x:v>
      </x:c>
      <x:c r="N66" t="str"/>
    </x:row>
    <x:row r="67">
      <x:c r="A67" t="n">
        <x:v>74</x:v>
      </x:c>
      <x:c r="B67" t="str">
        <x:v>Hauptliste</x:v>
      </x:c>
      <x:c r="C67"/>
      <x:c r="D67" t="n">
        <x:v>10069</x:v>
      </x:c>
      <x:c r="E67" t="str">
        <x:v>Zahlungseingänge 2023</x:v>
      </x:c>
      <x:c r="F67" t="str">
        <x:v>2023-420</x:v>
      </x:c>
      <x:c r="G67" s="6" t="n">
        <x:v>0</x:v>
      </x:c>
      <x:c r="H67" s="6" t="n">
        <x:v>737</x:v>
      </x:c>
      <x:c r="I67" t="str">
        <x:v>2024-01-26</x:v>
      </x:c>
      <x:c r="J67" s="8" t="n">
        <x:v>45317.5</x:v>
      </x:c>
      <x:c r="K67" t="n">
        <x:v>2024</x:v>
      </x:c>
      <x:c r="L67" s="6" t="n">
        <x:f>G67-H67</x:f>
        <x:v>-737</x:v>
      </x:c>
      <x:c r="M67" s="6" t="n">
        <x:f>IF(B67="Hauptliste",G67-IF(AND(ISNUMBER(K67),K67&lt;=2024),H67,0),0)</x:f>
        <x:v>-737</x:v>
      </x:c>
      <x:c r="N67" t="str"/>
    </x:row>
    <x:row r="68">
      <x:c r="A68" t="n">
        <x:v>75</x:v>
      </x:c>
      <x:c r="B68" t="str">
        <x:v>Hauptliste</x:v>
      </x:c>
      <x:c r="C68"/>
      <x:c r="D68" t="n">
        <x:v>10069</x:v>
      </x:c>
      <x:c r="E68" t="str">
        <x:v>Zahlungseingänge 2023</x:v>
      </x:c>
      <x:c r="F68" t="str">
        <x:v>2023-342</x:v>
      </x:c>
      <x:c r="G68" s="6" t="n">
        <x:v>0</x:v>
      </x:c>
      <x:c r="H68" s="6" t="n">
        <x:v>588</x:v>
      </x:c>
      <x:c r="I68" t="str">
        <x:v>2024-02-01</x:v>
      </x:c>
      <x:c r="J68" s="8" t="n">
        <x:v>45323.5</x:v>
      </x:c>
      <x:c r="K68" t="n">
        <x:v>2024</x:v>
      </x:c>
      <x:c r="L68" s="6" t="n">
        <x:f>G68-H68</x:f>
        <x:v>-588</x:v>
      </x:c>
      <x:c r="M68" s="6" t="n">
        <x:f>IF(B68="Hauptliste",G68-IF(AND(ISNUMBER(K68),K68&lt;=2024),H68,0),0)</x:f>
        <x:v>-588</x:v>
      </x:c>
      <x:c r="N68" t="str"/>
    </x:row>
    <x:row r="69">
      <x:c r="A69" t="n">
        <x:v>76</x:v>
      </x:c>
      <x:c r="B69" t="str">
        <x:v>Hauptliste</x:v>
      </x:c>
      <x:c r="C69"/>
      <x:c r="D69" t="n">
        <x:v>10069</x:v>
      </x:c>
      <x:c r="E69" t="str">
        <x:v>Zahlungseingänge 2023</x:v>
      </x:c>
      <x:c r="F69" t="str">
        <x:v>2023-307</x:v>
      </x:c>
      <x:c r="G69" s="6" t="n">
        <x:v>0</x:v>
      </x:c>
      <x:c r="H69" s="6" t="n">
        <x:v>1094.95</x:v>
      </x:c>
      <x:c r="I69" t="str">
        <x:v>2024-02-01</x:v>
      </x:c>
      <x:c r="J69" s="8" t="n">
        <x:v>45323.5</x:v>
      </x:c>
      <x:c r="K69" t="n">
        <x:v>2024</x:v>
      </x:c>
      <x:c r="L69" s="6" t="n">
        <x:f>G69-H69</x:f>
        <x:v>-1094.95</x:v>
      </x:c>
      <x:c r="M69" s="6" t="n">
        <x:f>IF(B69="Hauptliste",G69-IF(AND(ISNUMBER(K69),K69&lt;=2024),H69,0),0)</x:f>
        <x:v>-1094.95</x:v>
      </x:c>
      <x:c r="N69" t="str"/>
    </x:row>
    <x:row r="70">
      <x:c r="A70" t="n">
        <x:v>77</x:v>
      </x:c>
      <x:c r="B70" t="str">
        <x:v>Hauptliste</x:v>
      </x:c>
      <x:c r="C70"/>
      <x:c r="D70" t="n">
        <x:v>10069</x:v>
      </x:c>
      <x:c r="E70" t="str">
        <x:v>Baladier Amoury</x:v>
      </x:c>
      <x:c r="F70" t="str"/>
      <x:c r="G70" s="6" t="n">
        <x:v>0</x:v>
      </x:c>
      <x:c r="H70" s="6" t="n">
        <x:v>1532.6</x:v>
      </x:c>
      <x:c r="I70" t="str">
        <x:v>2026-02-05</x:v>
      </x:c>
      <x:c r="J70" s="8" t="n">
        <x:v>46058.5</x:v>
      </x:c>
      <x:c r="K70" t="n">
        <x:v>2026</x:v>
      </x:c>
      <x:c r="L70" s="6" t="n">
        <x:f>G70-H70</x:f>
        <x:v>-1532.6</x:v>
      </x:c>
      <x:c r="M70" s="6" t="n">
        <x:f>IF(B70="Hauptliste",G70-IF(AND(ISNUMBER(K70),K70&lt;=2024),H70,0),0)</x:f>
        <x:v>0</x:v>
      </x:c>
      <x:c r="N70" t="str">
        <x:v>Quelle nennt 05.02.2026, DATEV 05.02.2024; Jahr offen klären.</x:v>
      </x:c>
    </x:row>
    <x:row r="71">
      <x:c r="A71" t="n">
        <x:v>78</x:v>
      </x:c>
      <x:c r="B71" t="str">
        <x:v>Hauptliste</x:v>
      </x:c>
      <x:c r="C71"/>
      <x:c r="D71" t="n">
        <x:v>10069</x:v>
      </x:c>
      <x:c r="E71" t="str">
        <x:v>Zahlungseingänge 2023</x:v>
      </x:c>
      <x:c r="F71" t="str">
        <x:v>2023-314</x:v>
      </x:c>
      <x:c r="G71" s="6" t="n">
        <x:v>0</x:v>
      </x:c>
      <x:c r="H71" s="6" t="n">
        <x:v>1552</x:v>
      </x:c>
      <x:c r="I71" t="str">
        <x:v>2024-02-13</x:v>
      </x:c>
      <x:c r="J71" s="8" t="n">
        <x:v>45335.5</x:v>
      </x:c>
      <x:c r="K71" t="n">
        <x:v>2024</x:v>
      </x:c>
      <x:c r="L71" s="6" t="n">
        <x:f>G71-H71</x:f>
        <x:v>-1552</x:v>
      </x:c>
      <x:c r="M71" s="6" t="n">
        <x:f>IF(B71="Hauptliste",G71-IF(AND(ISNUMBER(K71),K71&lt;=2024),H71,0),0)</x:f>
        <x:v>-1552</x:v>
      </x:c>
      <x:c r="N71" t="str"/>
    </x:row>
    <x:row r="72">
      <x:c r="A72" t="n">
        <x:v>79</x:v>
      </x:c>
      <x:c r="B72" t="str">
        <x:v>Hauptliste</x:v>
      </x:c>
      <x:c r="C72"/>
      <x:c r="D72" t="n">
        <x:v>10069</x:v>
      </x:c>
      <x:c r="E72" t="str">
        <x:v>Zahlungseingänge 2023</x:v>
      </x:c>
      <x:c r="F72" t="str">
        <x:v>2023-404</x:v>
      </x:c>
      <x:c r="G72" s="6" t="n">
        <x:v>0</x:v>
      </x:c>
      <x:c r="H72" s="6" t="n">
        <x:v>3280</x:v>
      </x:c>
      <x:c r="I72" t="str">
        <x:v>2024-02-15</x:v>
      </x:c>
      <x:c r="J72" s="8" t="n">
        <x:v>45337.5</x:v>
      </x:c>
      <x:c r="K72" t="n">
        <x:v>2024</x:v>
      </x:c>
      <x:c r="L72" s="6" t="n">
        <x:f>G72-H72</x:f>
        <x:v>-3280</x:v>
      </x:c>
      <x:c r="M72" s="6" t="n">
        <x:f>IF(B72="Hauptliste",G72-IF(AND(ISNUMBER(K72),K72&lt;=2024),H72,0),0)</x:f>
        <x:v>-3280</x:v>
      </x:c>
      <x:c r="N72" t="str"/>
    </x:row>
    <x:row r="73">
      <x:c r="A73" t="n">
        <x:v>80</x:v>
      </x:c>
      <x:c r="B73" t="str">
        <x:v>Hauptliste</x:v>
      </x:c>
      <x:c r="C73"/>
      <x:c r="D73" t="n">
        <x:v>10069</x:v>
      </x:c>
      <x:c r="E73" t="str">
        <x:v>Zahlungseingänge 2023</x:v>
      </x:c>
      <x:c r="F73" t="str">
        <x:v>2023-369</x:v>
      </x:c>
      <x:c r="G73" s="6" t="n">
        <x:v>0</x:v>
      </x:c>
      <x:c r="H73" s="6" t="n">
        <x:v>2150</x:v>
      </x:c>
      <x:c r="I73" t="str">
        <x:v>2024-02-16</x:v>
      </x:c>
      <x:c r="J73" s="8" t="n">
        <x:v>45338.5</x:v>
      </x:c>
      <x:c r="K73" t="n">
        <x:v>2024</x:v>
      </x:c>
      <x:c r="L73" s="6" t="n">
        <x:f>G73-H73</x:f>
        <x:v>-2150</x:v>
      </x:c>
      <x:c r="M73" s="6" t="n">
        <x:f>IF(B73="Hauptliste",G73-IF(AND(ISNUMBER(K73),K73&lt;=2024),H73,0),0)</x:f>
        <x:v>-2150</x:v>
      </x:c>
      <x:c r="N73" t="str"/>
    </x:row>
    <x:row r="74">
      <x:c r="A74" t="n">
        <x:v>81</x:v>
      </x:c>
      <x:c r="B74" t="str">
        <x:v>Hauptliste</x:v>
      </x:c>
      <x:c r="C74"/>
      <x:c r="D74" t="n">
        <x:v>10069</x:v>
      </x:c>
      <x:c r="E74" t="str">
        <x:v>Zahlungseingänge 2023</x:v>
      </x:c>
      <x:c r="F74" t="str">
        <x:v>2023-403</x:v>
      </x:c>
      <x:c r="G74" s="6" t="n">
        <x:v>0</x:v>
      </x:c>
      <x:c r="H74" s="6" t="n">
        <x:v>1670</x:v>
      </x:c>
      <x:c r="I74" t="str">
        <x:v>2024-02-16</x:v>
      </x:c>
      <x:c r="J74" s="8" t="n">
        <x:v>45338.5</x:v>
      </x:c>
      <x:c r="K74" t="n">
        <x:v>2024</x:v>
      </x:c>
      <x:c r="L74" s="6" t="n">
        <x:f>G74-H74</x:f>
        <x:v>-1670</x:v>
      </x:c>
      <x:c r="M74" s="6" t="n">
        <x:f>IF(B74="Hauptliste",G74-IF(AND(ISNUMBER(K74),K74&lt;=2024),H74,0),0)</x:f>
        <x:v>-1670</x:v>
      </x:c>
      <x:c r="N74" t="str"/>
    </x:row>
    <x:row r="75">
      <x:c r="A75" t="n">
        <x:v>82</x:v>
      </x:c>
      <x:c r="B75" t="str">
        <x:v>Hauptliste</x:v>
      </x:c>
      <x:c r="C75"/>
      <x:c r="D75" t="n">
        <x:v>10069</x:v>
      </x:c>
      <x:c r="E75" t="str">
        <x:v>Zahlungseingänge 2023</x:v>
      </x:c>
      <x:c r="F75" t="str">
        <x:v>2023-342</x:v>
      </x:c>
      <x:c r="G75" s="6" t="n">
        <x:v>0</x:v>
      </x:c>
      <x:c r="H75" s="6" t="n">
        <x:v>147</x:v>
      </x:c>
      <x:c r="I75" t="str">
        <x:v>2023-02-19</x:v>
      </x:c>
      <x:c r="J75" s="8" t="n">
        <x:v>44976.5</x:v>
      </x:c>
      <x:c r="K75" t="n">
        <x:v>2023</x:v>
      </x:c>
      <x:c r="L75" s="6" t="n">
        <x:f>G75-H75</x:f>
        <x:v>-147</x:v>
      </x:c>
      <x:c r="M75" s="6" t="n">
        <x:f>IF(B75="Hauptliste",G75-IF(AND(ISNUMBER(K75),K75&lt;=2024),H75,0),0)</x:f>
        <x:v>-147</x:v>
      </x:c>
      <x:c r="N75" t="str">
        <x:v>Quelle nennt 19.02.2023, DATEV 19.02.2024; Jahr offen klären.</x:v>
      </x:c>
    </x:row>
    <x:row r="76">
      <x:c r="A76" t="n">
        <x:v>83</x:v>
      </x:c>
      <x:c r="B76" t="str">
        <x:v>Hauptliste</x:v>
      </x:c>
      <x:c r="C76"/>
      <x:c r="D76" t="n">
        <x:v>10069</x:v>
      </x:c>
      <x:c r="E76" t="str">
        <x:v>Zahlungseingänge 2023</x:v>
      </x:c>
      <x:c r="F76" t="str">
        <x:v>2023-399</x:v>
      </x:c>
      <x:c r="G76" s="6" t="n">
        <x:v>0</x:v>
      </x:c>
      <x:c r="H76" s="6" t="n">
        <x:v>1216</x:v>
      </x:c>
      <x:c r="I76" t="str">
        <x:v>2024-02-20</x:v>
      </x:c>
      <x:c r="J76" s="8" t="n">
        <x:v>45342.5</x:v>
      </x:c>
      <x:c r="K76" t="n">
        <x:v>2024</x:v>
      </x:c>
      <x:c r="L76" s="6" t="n">
        <x:f>G76-H76</x:f>
        <x:v>-1216</x:v>
      </x:c>
      <x:c r="M76" s="6" t="n">
        <x:f>IF(B76="Hauptliste",G76-IF(AND(ISNUMBER(K76),K76&lt;=2024),H76,0),0)</x:f>
        <x:v>-1216</x:v>
      </x:c>
      <x:c r="N76" t="str"/>
    </x:row>
    <x:row r="77">
      <x:c r="A77" t="n">
        <x:v>84</x:v>
      </x:c>
      <x:c r="B77" t="str">
        <x:v>Hauptliste</x:v>
      </x:c>
      <x:c r="C77"/>
      <x:c r="D77" t="n">
        <x:v>10069</x:v>
      </x:c>
      <x:c r="E77" t="str">
        <x:v>Zahlungseingänge 2023</x:v>
      </x:c>
      <x:c r="F77" t="str">
        <x:v>2023-406</x:v>
      </x:c>
      <x:c r="G77" s="6" t="n">
        <x:v>0</x:v>
      </x:c>
      <x:c r="H77" s="6" t="n">
        <x:v>1780</x:v>
      </x:c>
      <x:c r="I77" t="str">
        <x:v>2024-02-22</x:v>
      </x:c>
      <x:c r="J77" s="8" t="n">
        <x:v>45344.5</x:v>
      </x:c>
      <x:c r="K77" t="n">
        <x:v>2024</x:v>
      </x:c>
      <x:c r="L77" s="6" t="n">
        <x:f>G77-H77</x:f>
        <x:v>-1780</x:v>
      </x:c>
      <x:c r="M77" s="6" t="n">
        <x:f>IF(B77="Hauptliste",G77-IF(AND(ISNUMBER(K77),K77&lt;=2024),H77,0),0)</x:f>
        <x:v>-1780</x:v>
      </x:c>
      <x:c r="N77" t="str"/>
    </x:row>
    <x:row r="78">
      <x:c r="A78" t="n">
        <x:v>85</x:v>
      </x:c>
      <x:c r="B78" t="str">
        <x:v>Hauptliste</x:v>
      </x:c>
      <x:c r="C78"/>
      <x:c r="D78" t="n">
        <x:v>10069</x:v>
      </x:c>
      <x:c r="E78" t="str">
        <x:v>Zahlungseingänge 2023</x:v>
      </x:c>
      <x:c r="F78" t="str">
        <x:v>2024-103</x:v>
      </x:c>
      <x:c r="G78" s="6" t="n">
        <x:v>0</x:v>
      </x:c>
      <x:c r="H78" s="6" t="n">
        <x:v>-200</x:v>
      </x:c>
      <x:c r="I78" t="str">
        <x:v>2024-02-26</x:v>
      </x:c>
      <x:c r="J78" s="8" t="n">
        <x:v>45348.5</x:v>
      </x:c>
      <x:c r="K78" t="n">
        <x:v>2024</x:v>
      </x:c>
      <x:c r="L78" s="6" t="n">
        <x:f>G78-H78</x:f>
        <x:v>200</x:v>
      </x:c>
      <x:c r="M78" s="6" t="n">
        <x:f>IF(B78="Hauptliste",G78-IF(AND(ISNUMBER(K78),K78&lt;=2024),H78,0),0)</x:f>
        <x:v>200</x:v>
      </x:c>
      <x:c r="N78" t="str"/>
    </x:row>
    <x:row r="79">
      <x:c r="A79" t="n">
        <x:v>86</x:v>
      </x:c>
      <x:c r="B79" t="str">
        <x:v>Hauptliste</x:v>
      </x:c>
      <x:c r="C79"/>
      <x:c r="D79" t="n">
        <x:v>10069</x:v>
      </x:c>
      <x:c r="E79" t="str">
        <x:v>Zahlungseingänge 2023</x:v>
      </x:c>
      <x:c r="F79" t="str">
        <x:v>2023-319</x:v>
      </x:c>
      <x:c r="G79" s="6" t="n">
        <x:v>0</x:v>
      </x:c>
      <x:c r="H79" s="6" t="n">
        <x:v>1552</x:v>
      </x:c>
      <x:c r="I79" t="str">
        <x:v>2024-02-29</x:v>
      </x:c>
      <x:c r="J79" s="8" t="n">
        <x:v>45351.5</x:v>
      </x:c>
      <x:c r="K79" t="n">
        <x:v>2024</x:v>
      </x:c>
      <x:c r="L79" s="6" t="n">
        <x:f>G79-H79</x:f>
        <x:v>-1552</x:v>
      </x:c>
      <x:c r="M79" s="6" t="n">
        <x:f>IF(B79="Hauptliste",G79-IF(AND(ISNUMBER(K79),K79&lt;=2024),H79,0),0)</x:f>
        <x:v>-1552</x:v>
      </x:c>
      <x:c r="N79" t="str"/>
    </x:row>
    <x:row r="80">
      <x:c r="A80" t="n">
        <x:v>87</x:v>
      </x:c>
      <x:c r="B80" t="str">
        <x:v>Hauptliste</x:v>
      </x:c>
      <x:c r="C80"/>
      <x:c r="D80" t="n">
        <x:v>10069</x:v>
      </x:c>
      <x:c r="E80" t="str">
        <x:v>Zahlungseingänge 2023</x:v>
      </x:c>
      <x:c r="F80" t="str">
        <x:v>2023-315</x:v>
      </x:c>
      <x:c r="G80" s="6" t="n">
        <x:v>0</x:v>
      </x:c>
      <x:c r="H80" s="6" t="n">
        <x:v>1480</x:v>
      </x:c>
      <x:c r="I80" t="str">
        <x:v>2024-03-08</x:v>
      </x:c>
      <x:c r="J80" s="8" t="n">
        <x:v>45359.5</x:v>
      </x:c>
      <x:c r="K80" t="n">
        <x:v>2024</x:v>
      </x:c>
      <x:c r="L80" s="6" t="n">
        <x:f>G80-H80</x:f>
        <x:v>-1480</x:v>
      </x:c>
      <x:c r="M80" s="6" t="n">
        <x:f>IF(B80="Hauptliste",G80-IF(AND(ISNUMBER(K80),K80&lt;=2024),H80,0),0)</x:f>
        <x:v>-1480</x:v>
      </x:c>
      <x:c r="N80" t="str"/>
    </x:row>
    <x:row r="81">
      <x:c r="A81" t="n">
        <x:v>88</x:v>
      </x:c>
      <x:c r="B81" t="str">
        <x:v>Hauptliste</x:v>
      </x:c>
      <x:c r="C81"/>
      <x:c r="D81" t="n">
        <x:v>10069</x:v>
      </x:c>
      <x:c r="E81" t="str">
        <x:v>Zahlungseingänge 2023</x:v>
      </x:c>
      <x:c r="F81" t="str">
        <x:v>2023-405</x:v>
      </x:c>
      <x:c r="G81" s="6" t="n">
        <x:v>0</x:v>
      </x:c>
      <x:c r="H81" s="6" t="n">
        <x:v>1780</x:v>
      </x:c>
      <x:c r="I81" t="str">
        <x:v>2024-03-15</x:v>
      </x:c>
      <x:c r="J81" s="8" t="n">
        <x:v>45366.5</x:v>
      </x:c>
      <x:c r="K81" t="n">
        <x:v>2024</x:v>
      </x:c>
      <x:c r="L81" s="6" t="n">
        <x:f>G81-H81</x:f>
        <x:v>-1780</x:v>
      </x:c>
      <x:c r="M81" s="6" t="n">
        <x:f>IF(B81="Hauptliste",G81-IF(AND(ISNUMBER(K81),K81&lt;=2024),H81,0),0)</x:f>
        <x:v>-1780</x:v>
      </x:c>
      <x:c r="N81" t="str"/>
    </x:row>
    <x:row r="82">
      <x:c r="A82" t="n">
        <x:v>89</x:v>
      </x:c>
      <x:c r="B82" t="str">
        <x:v>Hauptliste</x:v>
      </x:c>
      <x:c r="C82"/>
      <x:c r="D82" t="n">
        <x:v>10069</x:v>
      </x:c>
      <x:c r="E82" t="str">
        <x:v>Zahlungseingänge 2023</x:v>
      </x:c>
      <x:c r="F82" t="str">
        <x:v>2023-405</x:v>
      </x:c>
      <x:c r="G82" s="6" t="n">
        <x:v>0</x:v>
      </x:c>
      <x:c r="H82" s="6" t="n">
        <x:v>5340</x:v>
      </x:c>
      <x:c r="I82" t="str">
        <x:v>2024-05-27</x:v>
      </x:c>
      <x:c r="J82" s="8" t="n">
        <x:v>45439.5</x:v>
      </x:c>
      <x:c r="K82" t="n">
        <x:v>2024</x:v>
      </x:c>
      <x:c r="L82" s="6" t="n">
        <x:f>G82-H82</x:f>
        <x:v>-5340</x:v>
      </x:c>
      <x:c r="M82" s="6" t="n">
        <x:f>IF(B82="Hauptliste",G82-IF(AND(ISNUMBER(K82),K82&lt;=2024),H82,0),0)</x:f>
        <x:v>-5340</x:v>
      </x:c>
      <x:c r="N82" t="str"/>
    </x:row>
    <x:row r="83">
      <x:c r="A83" t="n">
        <x:v>90</x:v>
      </x:c>
      <x:c r="B83" t="str">
        <x:v>Hauptliste</x:v>
      </x:c>
      <x:c r="C83"/>
      <x:c r="D83" t="n">
        <x:v>10069</x:v>
      </x:c>
      <x:c r="E83" t="str">
        <x:v>Zahlungseingänge 2023</x:v>
      </x:c>
      <x:c r="F83" t="str">
        <x:v>2023-403</x:v>
      </x:c>
      <x:c r="G83" s="6" t="n">
        <x:v>0</x:v>
      </x:c>
      <x:c r="H83" s="6" t="n">
        <x:v>5010</x:v>
      </x:c>
      <x:c r="I83" t="str">
        <x:v>2024-05-31</x:v>
      </x:c>
      <x:c r="J83" s="8" t="n">
        <x:v>45443.5</x:v>
      </x:c>
      <x:c r="K83" t="n">
        <x:v>2024</x:v>
      </x:c>
      <x:c r="L83" s="6" t="n">
        <x:f>G83-H83</x:f>
        <x:v>-5010</x:v>
      </x:c>
      <x:c r="M83" s="6" t="n">
        <x:f>IF(B83="Hauptliste",G83-IF(AND(ISNUMBER(K83),K83&lt;=2024),H83,0),0)</x:f>
        <x:v>-5010</x:v>
      </x:c>
      <x:c r="N83" t="str"/>
    </x:row>
    <x:row r="84">
      <x:c r="A84" t="n">
        <x:v>91</x:v>
      </x:c>
      <x:c r="B84" t="str">
        <x:v>Hauptliste</x:v>
      </x:c>
      <x:c r="C84"/>
      <x:c r="D84" t="n">
        <x:v>10069</x:v>
      </x:c>
      <x:c r="E84" t="str">
        <x:v>Zahlungseingänge 2023</x:v>
      </x:c>
      <x:c r="F84" t="str">
        <x:v>2023-414</x:v>
      </x:c>
      <x:c r="G84" s="6" t="n">
        <x:v>0</x:v>
      </x:c>
      <x:c r="H84" s="6" t="n">
        <x:v>7296</x:v>
      </x:c>
      <x:c r="I84" t="str">
        <x:v>2024-05-31</x:v>
      </x:c>
      <x:c r="J84" s="8" t="n">
        <x:v>45443.5</x:v>
      </x:c>
      <x:c r="K84" t="n">
        <x:v>2024</x:v>
      </x:c>
      <x:c r="L84" s="6" t="n">
        <x:f>G84-H84</x:f>
        <x:v>-7296</x:v>
      </x:c>
      <x:c r="M84" s="6" t="n">
        <x:f>IF(B84="Hauptliste",G84-IF(AND(ISNUMBER(K84),K84&lt;=2024),H84,0),0)</x:f>
        <x:v>-7296</x:v>
      </x:c>
      <x:c r="N84" t="str"/>
    </x:row>
    <x:row r="85">
      <x:c r="A85" t="n">
        <x:v>92</x:v>
      </x:c>
      <x:c r="B85" t="str">
        <x:v>Hauptliste</x:v>
      </x:c>
      <x:c r="C85"/>
      <x:c r="D85" t="n">
        <x:v>10069</x:v>
      </x:c>
      <x:c r="E85" t="str">
        <x:v>Zahlungseingänge 2023</x:v>
      </x:c>
      <x:c r="F85" t="str">
        <x:v>2023-410</x:v>
      </x:c>
      <x:c r="G85" s="6" t="n">
        <x:v>0</x:v>
      </x:c>
      <x:c r="H85" s="6" t="n">
        <x:v>3640</x:v>
      </x:c>
      <x:c r="I85" t="str">
        <x:v>2024-05-31</x:v>
      </x:c>
      <x:c r="J85" s="8" t="n">
        <x:v>45443.5</x:v>
      </x:c>
      <x:c r="K85" t="n">
        <x:v>2024</x:v>
      </x:c>
      <x:c r="L85" s="6" t="n">
        <x:f>G85-H85</x:f>
        <x:v>-3640</x:v>
      </x:c>
      <x:c r="M85" s="6" t="n">
        <x:f>IF(B85="Hauptliste",G85-IF(AND(ISNUMBER(K85),K85&lt;=2024),H85,0),0)</x:f>
        <x:v>-3640</x:v>
      </x:c>
      <x:c r="N85" t="str"/>
    </x:row>
    <x:row r="86">
      <x:c r="A86" t="n">
        <x:v>93</x:v>
      </x:c>
      <x:c r="B86" t="str">
        <x:v>Hauptliste</x:v>
      </x:c>
      <x:c r="C86"/>
      <x:c r="D86" t="n">
        <x:v>10069</x:v>
      </x:c>
      <x:c r="E86" t="str">
        <x:v>Scheurich Ida</x:v>
      </x:c>
      <x:c r="F86" t="str"/>
      <x:c r="G86" s="6" t="n">
        <x:v>0</x:v>
      </x:c>
      <x:c r="H86" s="6" t="n">
        <x:v>6450</x:v>
      </x:c>
      <x:c r="I86" t="str">
        <x:v>2024-06-03</x:v>
      </x:c>
      <x:c r="J86" s="8" t="n">
        <x:v>45446.5</x:v>
      </x:c>
      <x:c r="K86" t="n">
        <x:v>2024</x:v>
      </x:c>
      <x:c r="L86" s="6" t="n">
        <x:f>G86-H86</x:f>
        <x:v>-6450</x:v>
      </x:c>
      <x:c r="M86" s="6" t="n">
        <x:f>IF(B86="Hauptliste",G86-IF(AND(ISNUMBER(K86),K86&lt;=2024),H86,0),0)</x:f>
        <x:v>-6450</x:v>
      </x:c>
      <x:c r="N86" t="str"/>
    </x:row>
    <x:row r="87">
      <x:c r="A87" t="n">
        <x:v>94</x:v>
      </x:c>
      <x:c r="B87" t="str">
        <x:v>Hauptliste</x:v>
      </x:c>
      <x:c r="C87"/>
      <x:c r="D87" t="n">
        <x:v>10069</x:v>
      </x:c>
      <x:c r="E87" t="str">
        <x:v>Zahlungseingänge 2023</x:v>
      </x:c>
      <x:c r="F87" t="str">
        <x:v>2023-404</x:v>
      </x:c>
      <x:c r="G87" s="6" t="n">
        <x:v>0</x:v>
      </x:c>
      <x:c r="H87" s="6" t="n">
        <x:v>9840</x:v>
      </x:c>
      <x:c r="I87" t="str">
        <x:v>2024-06-03</x:v>
      </x:c>
      <x:c r="J87" s="8" t="n">
        <x:v>45446.5</x:v>
      </x:c>
      <x:c r="K87" t="n">
        <x:v>2024</x:v>
      </x:c>
      <x:c r="L87" s="6" t="n">
        <x:f>G87-H87</x:f>
        <x:v>-9840</x:v>
      </x:c>
      <x:c r="M87" s="6" t="n">
        <x:f>IF(B87="Hauptliste",G87-IF(AND(ISNUMBER(K87),K87&lt;=2024),H87,0),0)</x:f>
        <x:v>-9840</x:v>
      </x:c>
      <x:c r="N87" t="str"/>
    </x:row>
    <x:row r="88">
      <x:c r="A88" t="n">
        <x:v>95</x:v>
      </x:c>
      <x:c r="B88" t="str">
        <x:v>Hauptliste</x:v>
      </x:c>
      <x:c r="C88"/>
      <x:c r="D88" t="n">
        <x:v>10069</x:v>
      </x:c>
      <x:c r="E88" t="str">
        <x:v>Zahlungseingänge 2023</x:v>
      </x:c>
      <x:c r="F88" t="str">
        <x:v>2023-389</x:v>
      </x:c>
      <x:c r="G88" s="6" t="n">
        <x:v>0</x:v>
      </x:c>
      <x:c r="H88" s="6" t="n">
        <x:v>574</x:v>
      </x:c>
      <x:c r="I88" t="str">
        <x:v>2024-06-10</x:v>
      </x:c>
      <x:c r="J88" s="8" t="n">
        <x:v>45453.5</x:v>
      </x:c>
      <x:c r="K88" t="n">
        <x:v>2024</x:v>
      </x:c>
      <x:c r="L88" s="6" t="n">
        <x:f>G88-H88</x:f>
        <x:v>-574</x:v>
      </x:c>
      <x:c r="M88" s="6" t="n">
        <x:f>IF(B88="Hauptliste",G88-IF(AND(ISNUMBER(K88),K88&lt;=2024),H88,0),0)</x:f>
        <x:v>-574</x:v>
      </x:c>
      <x:c r="N88" t="str"/>
    </x:row>
    <x:row r="89">
      <x:c r="A89" t="n">
        <x:v>96</x:v>
      </x:c>
      <x:c r="B89" t="str">
        <x:v>Hauptliste</x:v>
      </x:c>
      <x:c r="C89"/>
      <x:c r="D89" t="n">
        <x:v>10069</x:v>
      </x:c>
      <x:c r="E89" t="str">
        <x:v>Zahlungseingänge 2023</x:v>
      </x:c>
      <x:c r="F89" t="str">
        <x:v>2023-390</x:v>
      </x:c>
      <x:c r="G89" s="6" t="n">
        <x:v>0</x:v>
      </x:c>
      <x:c r="H89" s="6" t="n">
        <x:v>574</x:v>
      </x:c>
      <x:c r="I89" t="str">
        <x:v>2024-06-24</x:v>
      </x:c>
      <x:c r="J89" s="8" t="n">
        <x:v>45467.5</x:v>
      </x:c>
      <x:c r="K89" t="n">
        <x:v>2024</x:v>
      </x:c>
      <x:c r="L89" s="6" t="n">
        <x:f>G89-H89</x:f>
        <x:v>-574</x:v>
      </x:c>
      <x:c r="M89" s="6" t="n">
        <x:f>IF(B89="Hauptliste",G89-IF(AND(ISNUMBER(K89),K89&lt;=2024),H89,0),0)</x:f>
        <x:v>-574</x:v>
      </x:c>
      <x:c r="N89" t="str"/>
    </x:row>
    <x:row r="90">
      <x:c r="A90" t="n">
        <x:v>97</x:v>
      </x:c>
      <x:c r="B90" t="str">
        <x:v>Hauptliste</x:v>
      </x:c>
      <x:c r="C90"/>
      <x:c r="D90" t="n">
        <x:v>10069</x:v>
      </x:c>
      <x:c r="E90" t="str">
        <x:v>Zahlungseingänge 2023</x:v>
      </x:c>
      <x:c r="F90" t="str">
        <x:v>2023-406</x:v>
      </x:c>
      <x:c r="G90" s="6" t="n">
        <x:v>0</x:v>
      </x:c>
      <x:c r="H90" s="6" t="n">
        <x:v>5340</x:v>
      </x:c>
      <x:c r="I90" t="str">
        <x:v>2024-06-28</x:v>
      </x:c>
      <x:c r="J90" s="8" t="n">
        <x:v>45471.5</x:v>
      </x:c>
      <x:c r="K90" t="n">
        <x:v>2024</x:v>
      </x:c>
      <x:c r="L90" s="6" t="n">
        <x:f>G90-H90</x:f>
        <x:v>-5340</x:v>
      </x:c>
      <x:c r="M90" s="6" t="n">
        <x:f>IF(B90="Hauptliste",G90-IF(AND(ISNUMBER(K90),K90&lt;=2024),H90,0),0)</x:f>
        <x:v>-5340</x:v>
      </x:c>
      <x:c r="N90" t="str"/>
    </x:row>
    <x:row r="91">
      <x:c r="A91" t="n">
        <x:v>98</x:v>
      </x:c>
      <x:c r="B91" t="str">
        <x:v>Hauptliste</x:v>
      </x:c>
      <x:c r="C91"/>
      <x:c r="D91" t="n">
        <x:v>10069</x:v>
      </x:c>
      <x:c r="E91" t="str">
        <x:v>Zahlungseingänge 2023</x:v>
      </x:c>
      <x:c r="F91" t="str">
        <x:v>2023-393</x:v>
      </x:c>
      <x:c r="G91" s="6" t="n">
        <x:v>0</x:v>
      </x:c>
      <x:c r="H91" s="6" t="n">
        <x:v>5444</x:v>
      </x:c>
      <x:c r="I91" t="str">
        <x:v>2024-07-11</x:v>
      </x:c>
      <x:c r="J91" s="8" t="n">
        <x:v>45484.5</x:v>
      </x:c>
      <x:c r="K91" t="n">
        <x:v>2024</x:v>
      </x:c>
      <x:c r="L91" s="6" t="n">
        <x:f>G91-H91</x:f>
        <x:v>-5444</x:v>
      </x:c>
      <x:c r="M91" s="6" t="n">
        <x:f>IF(B91="Hauptliste",G91-IF(AND(ISNUMBER(K91),K91&lt;=2024),H91,0),0)</x:f>
        <x:v>-5444</x:v>
      </x:c>
      <x:c r="N91" t="str"/>
    </x:row>
    <x:row r="92">
      <x:c r="A92" t="n">
        <x:v>99</x:v>
      </x:c>
      <x:c r="B92" t="str">
        <x:v>Hauptliste</x:v>
      </x:c>
      <x:c r="C92"/>
      <x:c r="D92" t="n">
        <x:v>10069</x:v>
      </x:c>
      <x:c r="E92" t="str">
        <x:v>Zahlungseingänge 2023</x:v>
      </x:c>
      <x:c r="F92" t="str">
        <x:v>2023-383</x:v>
      </x:c>
      <x:c r="G92" s="6" t="n">
        <x:v>0</x:v>
      </x:c>
      <x:c r="H92" s="6" t="n">
        <x:v>548</x:v>
      </x:c>
      <x:c r="I92" t="str">
        <x:v>2024-10-10</x:v>
      </x:c>
      <x:c r="J92" s="8" t="n">
        <x:v>45575.5</x:v>
      </x:c>
      <x:c r="K92" t="n">
        <x:v>2024</x:v>
      </x:c>
      <x:c r="L92" s="6" t="n">
        <x:f>G92-H92</x:f>
        <x:v>-548</x:v>
      </x:c>
      <x:c r="M92" s="6" t="n">
        <x:f>IF(B92="Hauptliste",G92-IF(AND(ISNUMBER(K92),K92&lt;=2024),H92,0),0)</x:f>
        <x:v>-548</x:v>
      </x:c>
      <x:c r="N92" t="str"/>
    </x:row>
    <x:row r="93">
      <x:c r="A93" t="n">
        <x:v>100</x:v>
      </x:c>
      <x:c r="B93" t="str">
        <x:v>Hauptliste</x:v>
      </x:c>
      <x:c r="C93"/>
      <x:c r="D93" t="n">
        <x:v>10069</x:v>
      </x:c>
      <x:c r="E93" t="str">
        <x:v>Stornore. Mit Gutsch</x:v>
      </x:c>
      <x:c r="F93" t="str">
        <x:v>Steimel</x:v>
      </x:c>
      <x:c r="G93" s="6" t="n">
        <x:v>0</x:v>
      </x:c>
      <x:c r="H93" s="6" t="n">
        <x:v>-126</x:v>
      </x:c>
      <x:c r="I93" t="str">
        <x:v>2024-10-21</x:v>
      </x:c>
      <x:c r="J93" s="8" t="n">
        <x:v>45586.5</x:v>
      </x:c>
      <x:c r="K93" t="n">
        <x:v>2024</x:v>
      </x:c>
      <x:c r="L93" s="6" t="n">
        <x:f>G93-H93</x:f>
        <x:v>126</x:v>
      </x:c>
      <x:c r="M93" s="6" t="n">
        <x:f>IF(B93="Hauptliste",G93-IF(AND(ISNUMBER(K93),K93&lt;=2024),H93,0),0)</x:f>
        <x:v>126</x:v>
      </x:c>
      <x:c r="N93" t="str"/>
    </x:row>
    <x:row r="94">
      <x:c r="A94" t="n">
        <x:v>102</x:v>
      </x:c>
      <x:c r="B94" t="str">
        <x:v>Hauptliste</x:v>
      </x:c>
      <x:c r="C94" t="n">
        <x:v>10071</x:v>
      </x:c>
      <x:c r="D94" t="n">
        <x:v>10071</x:v>
      </x:c>
      <x:c r="E94" t="str">
        <x:v>Jara Maier</x:v>
      </x:c>
      <x:c r="F94" t="str">
        <x:v>2024-175</x:v>
      </x:c>
      <x:c r="G94" s="6" t="n">
        <x:v>10845</x:v>
      </x:c>
      <x:c r="H94" s="6" t="n">
        <x:v>4640</x:v>
      </x:c>
      <x:c r="I94" t="str">
        <x:v>2024-05-07</x:v>
      </x:c>
      <x:c r="J94" s="8" t="n">
        <x:v>45419.5</x:v>
      </x:c>
      <x:c r="K94" t="n">
        <x:v>2024</x:v>
      </x:c>
      <x:c r="L94" s="6" t="n">
        <x:f>G94-H94</x:f>
        <x:v>6205</x:v>
      </x:c>
      <x:c r="M94" s="6" t="n">
        <x:f>IF(B94="Hauptliste",G94-IF(AND(ISNUMBER(K94),K94&lt;=2024),H94,0),0)</x:f>
        <x:v>6205</x:v>
      </x:c>
      <x:c r="N94" t="str"/>
    </x:row>
    <x:row r="95">
      <x:c r="A95" t="n">
        <x:v>103</x:v>
      </x:c>
      <x:c r="B95" t="str">
        <x:v>Hauptliste</x:v>
      </x:c>
      <x:c r="C95"/>
      <x:c r="D95" t="n">
        <x:v>10071</x:v>
      </x:c>
      <x:c r="E95" t="str">
        <x:v>Jara Maier</x:v>
      </x:c>
      <x:c r="F95" t="str">
        <x:v>2024-259</x:v>
      </x:c>
      <x:c r="G95" s="6" t="n">
        <x:v>680</x:v>
      </x:c>
      <x:c r="H95" s="6" t="n">
        <x:v>0</x:v>
      </x:c>
      <x:c r="I95" t="str"/>
      <x:c r="J95" s="8"/>
      <x:c r="K95"/>
      <x:c r="L95" s="6" t="n">
        <x:f>G95-H95</x:f>
        <x:v>680</x:v>
      </x:c>
      <x:c r="M95" s="6" t="n">
        <x:f>IF(B95="Hauptliste",G95-IF(AND(ISNUMBER(K95),K95&lt;=2024),H95,0),0)</x:f>
        <x:v>680</x:v>
      </x:c>
      <x:c r="N95" t="str"/>
    </x:row>
    <x:row r="96">
      <x:c r="A96" t="n">
        <x:v>105</x:v>
      </x:c>
      <x:c r="B96" t="str">
        <x:v>Hauptliste</x:v>
      </x:c>
      <x:c r="C96" t="n">
        <x:v>10072</x:v>
      </x:c>
      <x:c r="D96" t="n">
        <x:v>10072</x:v>
      </x:c>
      <x:c r="E96" t="str">
        <x:v>Carla Frey</x:v>
      </x:c>
      <x:c r="F96" t="str">
        <x:v>2024-176</x:v>
      </x:c>
      <x:c r="G96" s="6" t="n">
        <x:v>11600</x:v>
      </x:c>
      <x:c r="H96" s="6" t="n">
        <x:v>4640</x:v>
      </x:c>
      <x:c r="I96" t="str">
        <x:v>2024-04-19</x:v>
      </x:c>
      <x:c r="J96" s="8" t="n">
        <x:v>45401.5</x:v>
      </x:c>
      <x:c r="K96" t="n">
        <x:v>2024</x:v>
      </x:c>
      <x:c r="L96" s="6" t="n">
        <x:f>G96-H96</x:f>
        <x:v>6960</x:v>
      </x:c>
      <x:c r="M96" s="6" t="n">
        <x:f>IF(B96="Hauptliste",G96-IF(AND(ISNUMBER(K96),K96&lt;=2024),H96,0),0)</x:f>
        <x:v>6960</x:v>
      </x:c>
      <x:c r="N96" t="str"/>
    </x:row>
    <x:row r="97">
      <x:c r="A97" t="n">
        <x:v>107</x:v>
      </x:c>
      <x:c r="B97" t="str">
        <x:v>Hauptliste</x:v>
      </x:c>
      <x:c r="C97"/>
      <x:c r="D97" t="n">
        <x:v>10072</x:v>
      </x:c>
      <x:c r="E97" t="str">
        <x:v>Carla Frey</x:v>
      </x:c>
      <x:c r="F97" t="str">
        <x:v>2024-276</x:v>
      </x:c>
      <x:c r="G97" s="6" t="n">
        <x:v>1140</x:v>
      </x:c>
      <x:c r="H97" s="6" t="n">
        <x:v>1140</x:v>
      </x:c>
      <x:c r="I97" t="str">
        <x:v>2024-08-16</x:v>
      </x:c>
      <x:c r="J97" s="8" t="n">
        <x:v>45520.5</x:v>
      </x:c>
      <x:c r="K97" t="n">
        <x:v>2024</x:v>
      </x:c>
      <x:c r="L97" s="6" t="n">
        <x:f>G97-H97</x:f>
        <x:v>0</x:v>
      </x:c>
      <x:c r="M97" s="6" t="n">
        <x:f>IF(B97="Hauptliste",G97-IF(AND(ISNUMBER(K97),K97&lt;=2024),H97,0),0)</x:f>
        <x:v>0</x:v>
      </x:c>
      <x:c r="N97" t="str"/>
    </x:row>
    <x:row r="98">
      <x:c r="A98" t="n">
        <x:v>108</x:v>
      </x:c>
      <x:c r="B98" t="str">
        <x:v>Hauptliste</x:v>
      </x:c>
      <x:c r="C98"/>
      <x:c r="D98" t="n">
        <x:v>10072</x:v>
      </x:c>
      <x:c r="E98" t="str">
        <x:v>Carla Frey</x:v>
      </x:c>
      <x:c r="F98" t="str">
        <x:v>2024-331</x:v>
      </x:c>
      <x:c r="G98" s="6" t="n">
        <x:v>380</x:v>
      </x:c>
      <x:c r="H98" s="6" t="n">
        <x:v>0</x:v>
      </x:c>
      <x:c r="I98" t="str"/>
      <x:c r="J98" s="8"/>
      <x:c r="K98"/>
      <x:c r="L98" s="6" t="n">
        <x:f>G98-H98</x:f>
        <x:v>380</x:v>
      </x:c>
      <x:c r="M98" s="6" t="n">
        <x:f>IF(B98="Hauptliste",G98-IF(AND(ISNUMBER(K98),K98&lt;=2024),H98,0),0)</x:f>
        <x:v>380</x:v>
      </x:c>
      <x:c r="N98" t="str"/>
    </x:row>
    <x:row r="99">
      <x:c r="A99" t="n">
        <x:v>110</x:v>
      </x:c>
      <x:c r="B99" t="str">
        <x:v>Hauptliste</x:v>
      </x:c>
      <x:c r="C99" t="n">
        <x:v>10080</x:v>
      </x:c>
      <x:c r="D99" t="n">
        <x:v>10080</x:v>
      </x:c>
      <x:c r="E99" t="str">
        <x:v>Vivien Ullrich</x:v>
      </x:c>
      <x:c r="F99" t="str">
        <x:v>2024-184</x:v>
      </x:c>
      <x:c r="G99" s="6" t="n">
        <x:v>2040</x:v>
      </x:c>
      <x:c r="H99" s="6" t="n">
        <x:v>408</x:v>
      </x:c>
      <x:c r="I99" t="str">
        <x:v>2024-04-22</x:v>
      </x:c>
      <x:c r="J99" s="8" t="n">
        <x:v>45404.5</x:v>
      </x:c>
      <x:c r="K99" t="n">
        <x:v>2024</x:v>
      </x:c>
      <x:c r="L99" s="6" t="n">
        <x:f>G99-H99</x:f>
        <x:v>1632</x:v>
      </x:c>
      <x:c r="M99" s="6" t="n">
        <x:f>IF(B99="Hauptliste",G99-IF(AND(ISNUMBER(K99),K99&lt;=2024),H99,0),0)</x:f>
        <x:v>1632</x:v>
      </x:c>
      <x:c r="N99" t="str"/>
    </x:row>
    <x:row r="100">
      <x:c r="A100" t="n">
        <x:v>112</x:v>
      </x:c>
      <x:c r="B100" t="str">
        <x:v>Hauptliste</x:v>
      </x:c>
      <x:c r="C100" t="n">
        <x:v>10081</x:v>
      </x:c>
      <x:c r="D100" t="n">
        <x:v>10081</x:v>
      </x:c>
      <x:c r="E100" t="str">
        <x:v>Alane Pessemesse</x:v>
      </x:c>
      <x:c r="F100" t="str">
        <x:v>2024-186</x:v>
      </x:c>
      <x:c r="G100" s="6" t="n">
        <x:v>970</x:v>
      </x:c>
      <x:c r="H100" s="6" t="n">
        <x:v>182</x:v>
      </x:c>
      <x:c r="I100" t="str">
        <x:v>2024-04-26</x:v>
      </x:c>
      <x:c r="J100" s="8" t="n">
        <x:v>45408.5</x:v>
      </x:c>
      <x:c r="K100" t="n">
        <x:v>2024</x:v>
      </x:c>
      <x:c r="L100" s="6" t="n">
        <x:f>G100-H100</x:f>
        <x:v>788</x:v>
      </x:c>
      <x:c r="M100" s="6" t="n">
        <x:f>IF(B100="Hauptliste",G100-IF(AND(ISNUMBER(K100),K100&lt;=2024),H100,0),0)</x:f>
        <x:v>788</x:v>
      </x:c>
      <x:c r="N100" t="str"/>
    </x:row>
    <x:row r="101">
      <x:c r="A101" t="n">
        <x:v>114</x:v>
      </x:c>
      <x:c r="B101" t="str">
        <x:v>Hauptliste</x:v>
      </x:c>
      <x:c r="C101" t="n">
        <x:v>10083</x:v>
      </x:c>
      <x:c r="D101" t="n">
        <x:v>10083</x:v>
      </x:c>
      <x:c r="E101" t="str">
        <x:v>Alis Sherrington</x:v>
      </x:c>
      <x:c r="F101" t="str">
        <x:v>2024-188</x:v>
      </x:c>
      <x:c r="G101" s="6" t="n">
        <x:v>731.2</x:v>
      </x:c>
      <x:c r="H101" s="6" t="n">
        <x:v>67.21</x:v>
      </x:c>
      <x:c r="I101" t="str">
        <x:v>2024-04-29</x:v>
      </x:c>
      <x:c r="J101" s="8" t="n">
        <x:v>45411.5</x:v>
      </x:c>
      <x:c r="K101" t="n">
        <x:v>2024</x:v>
      </x:c>
      <x:c r="L101" s="6" t="n">
        <x:f>G101-H101</x:f>
        <x:v>663.99</x:v>
      </x:c>
      <x:c r="M101" s="6" t="n">
        <x:f>IF(B101="Hauptliste",G101-IF(AND(ISNUMBER(K101),K101&lt;=2024),H101,0),0)</x:f>
        <x:v>663.99</x:v>
      </x:c>
      <x:c r="N101" t="str"/>
    </x:row>
    <x:row r="102">
      <x:c r="A102" t="n">
        <x:v>116</x:v>
      </x:c>
      <x:c r="B102" t="str">
        <x:v>Hauptliste</x:v>
      </x:c>
      <x:c r="C102" t="n">
        <x:v>10087</x:v>
      </x:c>
      <x:c r="D102" t="n">
        <x:v>10087</x:v>
      </x:c>
      <x:c r="E102" t="str">
        <x:v>Carmen Kemmer</x:v>
      </x:c>
      <x:c r="F102" t="str">
        <x:v>2024-193</x:v>
      </x:c>
      <x:c r="G102" s="6" t="n">
        <x:v>523</x:v>
      </x:c>
      <x:c r="H102" s="6" t="n">
        <x:v>0</x:v>
      </x:c>
      <x:c r="I102" t="str"/>
      <x:c r="J102" s="8"/>
      <x:c r="K102"/>
      <x:c r="L102" s="6" t="n">
        <x:f>G102-H102</x:f>
        <x:v>523</x:v>
      </x:c>
      <x:c r="M102" s="6" t="n">
        <x:f>IF(B102="Hauptliste",G102-IF(AND(ISNUMBER(K102),K102&lt;=2024),H102,0),0)</x:f>
        <x:v>523</x:v>
      </x:c>
      <x:c r="N102" t="str"/>
    </x:row>
    <x:row r="103">
      <x:c r="A103" t="n">
        <x:v>118</x:v>
      </x:c>
      <x:c r="B103" t="str">
        <x:v>Hauptliste</x:v>
      </x:c>
      <x:c r="C103" t="n">
        <x:v>10089</x:v>
      </x:c>
      <x:c r="D103" t="n">
        <x:v>10089</x:v>
      </x:c>
      <x:c r="E103" t="str">
        <x:v>Eva Friedrich</x:v>
      </x:c>
      <x:c r="F103" t="str">
        <x:v>2024-196</x:v>
      </x:c>
      <x:c r="G103" s="6" t="n">
        <x:v>901</x:v>
      </x:c>
      <x:c r="H103" s="6" t="n">
        <x:v>180.2</x:v>
      </x:c>
      <x:c r="I103" t="str">
        <x:v>2024-04-29</x:v>
      </x:c>
      <x:c r="J103" s="8" t="n">
        <x:v>45411.5</x:v>
      </x:c>
      <x:c r="K103" t="n">
        <x:v>2024</x:v>
      </x:c>
      <x:c r="L103" s="6" t="n">
        <x:f>G103-H103</x:f>
        <x:v>720.8</x:v>
      </x:c>
      <x:c r="M103" s="6" t="n">
        <x:f>IF(B103="Hauptliste",G103-IF(AND(ISNUMBER(K103),K103&lt;=2024),H103,0),0)</x:f>
        <x:v>720.8</x:v>
      </x:c>
      <x:c r="N103" t="str"/>
    </x:row>
    <x:row r="104">
      <x:c r="A104" t="n">
        <x:v>119</x:v>
      </x:c>
      <x:c r="B104" t="str">
        <x:v>Hauptliste</x:v>
      </x:c>
      <x:c r="C104"/>
      <x:c r="D104" t="n">
        <x:v>10089</x:v>
      </x:c>
      <x:c r="E104" t="str">
        <x:v>Eva Friedrich</x:v>
      </x:c>
      <x:c r="F104" t="str"/>
      <x:c r="G104" s="6" t="n">
        <x:v>0</x:v>
      </x:c>
      <x:c r="H104" s="6" t="n">
        <x:v>720.8</x:v>
      </x:c>
      <x:c r="I104" t="str">
        <x:v>2024-04-29</x:v>
      </x:c>
      <x:c r="J104" s="8" t="n">
        <x:v>45411.5</x:v>
      </x:c>
      <x:c r="K104" t="n">
        <x:v>2024</x:v>
      </x:c>
      <x:c r="L104" s="6" t="n">
        <x:f>G104-H104</x:f>
        <x:v>-720.8</x:v>
      </x:c>
      <x:c r="M104" s="6" t="n">
        <x:f>IF(B104="Hauptliste",G104-IF(AND(ISNUMBER(K104),K104&lt;=2024),H104,0),0)</x:f>
        <x:v>-720.8</x:v>
      </x:c>
      <x:c r="N104" t="str"/>
    </x:row>
    <x:row r="105">
      <x:c r="A105" t="n">
        <x:v>120</x:v>
      </x:c>
      <x:c r="B105" t="str">
        <x:v>Hauptliste</x:v>
      </x:c>
      <x:c r="C105"/>
      <x:c r="D105" t="n">
        <x:v>10089</x:v>
      </x:c>
      <x:c r="E105" t="str">
        <x:v>Eva Friedrich</x:v>
      </x:c>
      <x:c r="F105" t="str">
        <x:v>2024-252</x:v>
      </x:c>
      <x:c r="G105" s="6" t="n">
        <x:v>0</x:v>
      </x:c>
      <x:c r="H105" s="6" t="n">
        <x:v>720</x:v>
      </x:c>
      <x:c r="I105" t="str">
        <x:v>2024-07-19</x:v>
      </x:c>
      <x:c r="J105" s="8" t="n">
        <x:v>45492.5</x:v>
      </x:c>
      <x:c r="K105" t="n">
        <x:v>2024</x:v>
      </x:c>
      <x:c r="L105" s="6" t="n">
        <x:f>G105-H105</x:f>
        <x:v>-720</x:v>
      </x:c>
      <x:c r="M105" s="6" t="n">
        <x:f>IF(B105="Hauptliste",G105-IF(AND(ISNUMBER(K105),K105&lt;=2024),H105,0),0)</x:f>
        <x:v>-720</x:v>
      </x:c>
      <x:c r="N105" t="str"/>
    </x:row>
    <x:row r="106">
      <x:c r="A106" t="n">
        <x:v>123</x:v>
      </x:c>
      <x:c r="B106" t="str">
        <x:v>Hauptliste</x:v>
      </x:c>
      <x:c r="C106" t="n">
        <x:v>10095</x:v>
      </x:c>
      <x:c r="D106" t="n">
        <x:v>10095</x:v>
      </x:c>
      <x:c r="E106" t="str">
        <x:v>Jamie Cole</x:v>
      </x:c>
      <x:c r="F106" t="str">
        <x:v>2024-202</x:v>
      </x:c>
      <x:c r="G106" s="6" t="n">
        <x:v>1185</x:v>
      </x:c>
      <x:c r="H106" s="6" t="n">
        <x:v>0</x:v>
      </x:c>
      <x:c r="I106" t="str"/>
      <x:c r="J106" s="8"/>
      <x:c r="K106"/>
      <x:c r="L106" s="6" t="n">
        <x:f>G106-H106</x:f>
        <x:v>1185</x:v>
      </x:c>
      <x:c r="M106" s="6" t="n">
        <x:f>IF(B106="Hauptliste",G106-IF(AND(ISNUMBER(K106),K106&lt;=2024),H106,0),0)</x:f>
        <x:v>1185</x:v>
      </x:c>
      <x:c r="N106" t="str"/>
    </x:row>
    <x:row r="107">
      <x:c r="A107" t="n">
        <x:v>125</x:v>
      </x:c>
      <x:c r="B107" t="str">
        <x:v>Hauptliste</x:v>
      </x:c>
      <x:c r="C107" t="n">
        <x:v>10096</x:v>
      </x:c>
      <x:c r="D107" t="n">
        <x:v>10096</x:v>
      </x:c>
      <x:c r="E107" t="str">
        <x:v>Lea Wette</x:v>
      </x:c>
      <x:c r="F107" t="str">
        <x:v>2024-203</x:v>
      </x:c>
      <x:c r="G107" s="6" t="n">
        <x:v>2600</x:v>
      </x:c>
      <x:c r="H107" s="6" t="n">
        <x:v>502</x:v>
      </x:c>
      <x:c r="I107" t="str">
        <x:v>2024-05-31</x:v>
      </x:c>
      <x:c r="J107" s="8" t="n">
        <x:v>45443.5</x:v>
      </x:c>
      <x:c r="K107" t="n">
        <x:v>2024</x:v>
      </x:c>
      <x:c r="L107" s="6" t="n">
        <x:f>G107-H107</x:f>
        <x:v>2098</x:v>
      </x:c>
      <x:c r="M107" s="6" t="n">
        <x:f>IF(B107="Hauptliste",G107-IF(AND(ISNUMBER(K107),K107&lt;=2024),H107,0),0)</x:f>
        <x:v>2098</x:v>
      </x:c>
      <x:c r="N107" t="str"/>
    </x:row>
    <x:row r="108">
      <x:c r="A108" t="n">
        <x:v>126</x:v>
      </x:c>
      <x:c r="B108" t="str">
        <x:v>Hauptliste</x:v>
      </x:c>
      <x:c r="C108"/>
      <x:c r="D108" t="n">
        <x:v>10096</x:v>
      </x:c>
      <x:c r="E108" t="str">
        <x:v>Lea Wette</x:v>
      </x:c>
      <x:c r="F108" t="str"/>
      <x:c r="G108" s="6" t="n">
        <x:v>0</x:v>
      </x:c>
      <x:c r="H108" s="6" t="n">
        <x:v>2098</x:v>
      </x:c>
      <x:c r="I108" t="str">
        <x:v>2024-09-02</x:v>
      </x:c>
      <x:c r="J108" s="8" t="n">
        <x:v>45537.5</x:v>
      </x:c>
      <x:c r="K108" t="n">
        <x:v>2024</x:v>
      </x:c>
      <x:c r="L108" s="6" t="n">
        <x:f>G108-H108</x:f>
        <x:v>-2098</x:v>
      </x:c>
      <x:c r="M108" s="6" t="n">
        <x:f>IF(B108="Hauptliste",G108-IF(AND(ISNUMBER(K108),K108&lt;=2024),H108,0),0)</x:f>
        <x:v>-2098</x:v>
      </x:c>
      <x:c r="N108" t="str"/>
    </x:row>
    <x:row r="109">
      <x:c r="A109" t="n">
        <x:v>127</x:v>
      </x:c>
      <x:c r="B109" t="str">
        <x:v>Hauptliste</x:v>
      </x:c>
      <x:c r="C109"/>
      <x:c r="D109" t="n">
        <x:v>10096</x:v>
      </x:c>
      <x:c r="E109" t="str">
        <x:v>Lea Wette</x:v>
      </x:c>
      <x:c r="F109" t="str">
        <x:v>2024-223</x:v>
      </x:c>
      <x:c r="G109" s="6" t="n">
        <x:v>2370</x:v>
      </x:c>
      <x:c r="H109" s="6" t="n">
        <x:v>465</x:v>
      </x:c>
      <x:c r="I109" t="str">
        <x:v>2024-06-17</x:v>
      </x:c>
      <x:c r="J109" s="8" t="n">
        <x:v>45460.5</x:v>
      </x:c>
      <x:c r="K109" t="n">
        <x:v>2024</x:v>
      </x:c>
      <x:c r="L109" s="6" t="n">
        <x:f>G109-H109</x:f>
        <x:v>1905</x:v>
      </x:c>
      <x:c r="M109" s="6" t="n">
        <x:f>IF(B109="Hauptliste",G109-IF(AND(ISNUMBER(K109),K109&lt;=2024),H109,0),0)</x:f>
        <x:v>1905</x:v>
      </x:c>
      <x:c r="N109" t="str"/>
    </x:row>
    <x:row r="110">
      <x:c r="A110" t="n">
        <x:v>128</x:v>
      </x:c>
      <x:c r="B110" t="str">
        <x:v>Hauptliste</x:v>
      </x:c>
      <x:c r="C110"/>
      <x:c r="D110" t="n">
        <x:v>10096</x:v>
      </x:c>
      <x:c r="E110" t="str">
        <x:v>Lea Wette</x:v>
      </x:c>
      <x:c r="F110" t="str"/>
      <x:c r="G110" s="6" t="n">
        <x:v>0</x:v>
      </x:c>
      <x:c r="H110" s="6" t="n">
        <x:v>1824</x:v>
      </x:c>
      <x:c r="I110" t="str">
        <x:v>2024-09-02</x:v>
      </x:c>
      <x:c r="J110" s="8" t="n">
        <x:v>45537.5</x:v>
      </x:c>
      <x:c r="K110" t="n">
        <x:v>2024</x:v>
      </x:c>
      <x:c r="L110" s="6" t="n">
        <x:f>G110-H110</x:f>
        <x:v>-1824</x:v>
      </x:c>
      <x:c r="M110" s="6" t="n">
        <x:f>IF(B110="Hauptliste",G110-IF(AND(ISNUMBER(K110),K110&lt;=2024),H110,0),0)</x:f>
        <x:v>-1824</x:v>
      </x:c>
      <x:c r="N110" t="str"/>
    </x:row>
    <x:row r="111">
      <x:c r="A111" t="n">
        <x:v>130</x:v>
      </x:c>
      <x:c r="B111" t="str">
        <x:v>Hauptliste</x:v>
      </x:c>
      <x:c r="C111" t="n">
        <x:v>10103</x:v>
      </x:c>
      <x:c r="D111" t="n">
        <x:v>10103</x:v>
      </x:c>
      <x:c r="E111" t="str">
        <x:v>Marie Müller</x:v>
      </x:c>
      <x:c r="F111" t="str">
        <x:v>2024-212</x:v>
      </x:c>
      <x:c r="G111" s="6" t="n">
        <x:v>950</x:v>
      </x:c>
      <x:c r="H111" s="6" t="n">
        <x:v>190</x:v>
      </x:c>
      <x:c r="I111" t="str">
        <x:v>2024-06-11</x:v>
      </x:c>
      <x:c r="J111" s="8" t="n">
        <x:v>45454.5</x:v>
      </x:c>
      <x:c r="K111" t="n">
        <x:v>2024</x:v>
      </x:c>
      <x:c r="L111" s="6" t="n">
        <x:f>G111-H111</x:f>
        <x:v>760</x:v>
      </x:c>
      <x:c r="M111" s="6" t="n">
        <x:f>IF(B111="Hauptliste",G111-IF(AND(ISNUMBER(K111),K111&lt;=2024),H111,0),0)</x:f>
        <x:v>760</x:v>
      </x:c>
      <x:c r="N111" t="str"/>
    </x:row>
    <x:row r="112">
      <x:c r="A112" t="n">
        <x:v>131</x:v>
      </x:c>
      <x:c r="B112" t="str">
        <x:v>Hauptliste</x:v>
      </x:c>
      <x:c r="C112"/>
      <x:c r="D112" t="n">
        <x:v>10103</x:v>
      </x:c>
      <x:c r="E112" t="str">
        <x:v>Marie Müller</x:v>
      </x:c>
      <x:c r="F112" t="str"/>
      <x:c r="G112" s="6" t="n">
        <x:v>0</x:v>
      </x:c>
      <x:c r="H112" s="6" t="n">
        <x:v>760</x:v>
      </x:c>
      <x:c r="I112" t="str">
        <x:v>2024-12-23</x:v>
      </x:c>
      <x:c r="J112" s="8" t="n">
        <x:v>45649.5</x:v>
      </x:c>
      <x:c r="K112" t="n">
        <x:v>2024</x:v>
      </x:c>
      <x:c r="L112" s="6" t="n">
        <x:f>G112-H112</x:f>
        <x:v>-760</x:v>
      </x:c>
      <x:c r="M112" s="6" t="n">
        <x:f>IF(B112="Hauptliste",G112-IF(AND(ISNUMBER(K112),K112&lt;=2024),H112,0),0)</x:f>
        <x:v>-760</x:v>
      </x:c>
      <x:c r="N112" t="str"/>
    </x:row>
    <x:row r="113">
      <x:c r="A113" t="n">
        <x:v>132</x:v>
      </x:c>
      <x:c r="B113" t="str">
        <x:v>Hauptliste</x:v>
      </x:c>
      <x:c r="C113"/>
      <x:c r="D113" t="n">
        <x:v>10103</x:v>
      </x:c>
      <x:c r="E113" t="str">
        <x:v>Marie Müller</x:v>
      </x:c>
      <x:c r="F113" t="str">
        <x:v>2024-321</x:v>
      </x:c>
      <x:c r="G113" s="6" t="n">
        <x:v>190</x:v>
      </x:c>
      <x:c r="H113" s="6" t="n">
        <x:v>190</x:v>
      </x:c>
      <x:c r="I113" t="str">
        <x:v>2025-04-01</x:v>
      </x:c>
      <x:c r="J113" s="8" t="n">
        <x:v>45748.5</x:v>
      </x:c>
      <x:c r="K113" t="n">
        <x:v>2025</x:v>
      </x:c>
      <x:c r="L113" s="6" t="n">
        <x:f>G113-H113</x:f>
        <x:v>0</x:v>
      </x:c>
      <x:c r="M113" s="6" t="n">
        <x:f>IF(B113="Hauptliste",G113-IF(AND(ISNUMBER(K113),K113&lt;=2024),H113,0),0)</x:f>
        <x:v>190</x:v>
      </x:c>
      <x:c r="N113" t="str"/>
    </x:row>
    <x:row r="114">
      <x:c r="A114" t="n">
        <x:v>134</x:v>
      </x:c>
      <x:c r="B114" t="str">
        <x:v>Hauptliste</x:v>
      </x:c>
      <x:c r="C114"/>
      <x:c r="D114" t="n">
        <x:v>10103</x:v>
      </x:c>
      <x:c r="E114" t="str">
        <x:v>Marie Müller</x:v>
      </x:c>
      <x:c r="F114" t="str">
        <x:v>2024-350</x:v>
      </x:c>
      <x:c r="G114" s="6" t="n">
        <x:v>247.13</x:v>
      </x:c>
      <x:c r="H114" s="6" t="n">
        <x:v>247.13</x:v>
      </x:c>
      <x:c r="I114" t="str">
        <x:v>2024-12-16</x:v>
      </x:c>
      <x:c r="J114" s="8" t="n">
        <x:v>45642.5</x:v>
      </x:c>
      <x:c r="K114" t="n">
        <x:v>2024</x:v>
      </x:c>
      <x:c r="L114" s="6" t="n">
        <x:f>G114-H114</x:f>
        <x:v>0</x:v>
      </x:c>
      <x:c r="M114" s="6" t="n">
        <x:f>IF(B114="Hauptliste",G114-IF(AND(ISNUMBER(K114),K114&lt;=2024),H114,0),0)</x:f>
        <x:v>0</x:v>
      </x:c>
      <x:c r="N114" t="str"/>
    </x:row>
    <x:row r="115">
      <x:c r="A115" t="n">
        <x:v>136</x:v>
      </x:c>
      <x:c r="B115" t="str">
        <x:v>Hauptliste</x:v>
      </x:c>
      <x:c r="C115" t="n">
        <x:v>10105</x:v>
      </x:c>
      <x:c r="D115" t="n">
        <x:v>10105</x:v>
      </x:c>
      <x:c r="E115" t="str">
        <x:v>Drissa Dolumbia</x:v>
      </x:c>
      <x:c r="F115" t="str">
        <x:v>2024-214</x:v>
      </x:c>
      <x:c r="G115" s="6" t="n">
        <x:v>3820</x:v>
      </x:c>
      <x:c r="H115" s="6" t="n">
        <x:v>0</x:v>
      </x:c>
      <x:c r="I115" t="str"/>
      <x:c r="J115" s="8"/>
      <x:c r="K115"/>
      <x:c r="L115" s="6" t="n">
        <x:f>G115-H115</x:f>
        <x:v>3820</x:v>
      </x:c>
      <x:c r="M115" s="6" t="n">
        <x:f>IF(B115="Hauptliste",G115-IF(AND(ISNUMBER(K115),K115&lt;=2024),H115,0),0)</x:f>
        <x:v>3820</x:v>
      </x:c>
      <x:c r="N115" t="str"/>
    </x:row>
    <x:row r="116">
      <x:c r="A116" t="n">
        <x:v>138</x:v>
      </x:c>
      <x:c r="B116" t="str">
        <x:v>Hauptliste</x:v>
      </x:c>
      <x:c r="C116" t="n">
        <x:v>10109</x:v>
      </x:c>
      <x:c r="D116" t="n">
        <x:v>10109</x:v>
      </x:c>
      <x:c r="E116" t="str">
        <x:v>Haley Lindale</x:v>
      </x:c>
      <x:c r="F116" t="str">
        <x:v>2024-218</x:v>
      </x:c>
      <x:c r="G116" s="6" t="n">
        <x:v>293.49</x:v>
      </x:c>
      <x:c r="H116" s="6" t="n">
        <x:v>0</x:v>
      </x:c>
      <x:c r="I116" t="str"/>
      <x:c r="J116" s="8"/>
      <x:c r="K116"/>
      <x:c r="L116" s="6" t="n">
        <x:f>G116-H116</x:f>
        <x:v>293.49</x:v>
      </x:c>
      <x:c r="M116" s="6" t="n">
        <x:f>IF(B116="Hauptliste",G116-IF(AND(ISNUMBER(K116),K116&lt;=2024),H116,0),0)</x:f>
        <x:v>293.49</x:v>
      </x:c>
      <x:c r="N116" t="str"/>
    </x:row>
    <x:row r="117">
      <x:c r="A117" t="n">
        <x:v>140</x:v>
      </x:c>
      <x:c r="B117" t="str">
        <x:v>Hauptliste</x:v>
      </x:c>
      <x:c r="C117" t="n">
        <x:v>10121</x:v>
      </x:c>
      <x:c r="D117" t="n">
        <x:v>10121</x:v>
      </x:c>
      <x:c r="E117" t="str">
        <x:v>Simon Pirhofer</x:v>
      </x:c>
      <x:c r="F117" t="str">
        <x:v>2024-233</x:v>
      </x:c>
      <x:c r="G117" s="6" t="n">
        <x:v>921</x:v>
      </x:c>
      <x:c r="H117" s="6" t="n">
        <x:v>184.2</x:v>
      </x:c>
      <x:c r="I117" t="str">
        <x:v>2024-06-25</x:v>
      </x:c>
      <x:c r="J117" s="8" t="n">
        <x:v>45468.5</x:v>
      </x:c>
      <x:c r="K117" t="n">
        <x:v>2024</x:v>
      </x:c>
      <x:c r="L117" s="6" t="n">
        <x:f>G117-H117</x:f>
        <x:v>736.8</x:v>
      </x:c>
      <x:c r="M117" s="6" t="n">
        <x:f>IF(B117="Hauptliste",G117-IF(AND(ISNUMBER(K117),K117&lt;=2024),H117,0),0)</x:f>
        <x:v>736.8</x:v>
      </x:c>
      <x:c r="N117" t="str"/>
    </x:row>
    <x:row r="118">
      <x:c r="A118" t="n">
        <x:v>141</x:v>
      </x:c>
      <x:c r="B118" t="str">
        <x:v>Hauptliste</x:v>
      </x:c>
      <x:c r="C118"/>
      <x:c r="D118" t="n">
        <x:v>10121</x:v>
      </x:c>
      <x:c r="E118" t="str">
        <x:v>Simon Pirhofer</x:v>
      </x:c>
      <x:c r="F118" t="str"/>
      <x:c r="G118" s="6" t="n">
        <x:v>0</x:v>
      </x:c>
      <x:c r="H118" s="6" t="n">
        <x:v>736.8</x:v>
      </x:c>
      <x:c r="I118" t="str">
        <x:v>2024-07-24</x:v>
      </x:c>
      <x:c r="J118" s="8" t="n">
        <x:v>45497.5</x:v>
      </x:c>
      <x:c r="K118" t="n">
        <x:v>2024</x:v>
      </x:c>
      <x:c r="L118" s="6" t="n">
        <x:f>G118-H118</x:f>
        <x:v>-736.8</x:v>
      </x:c>
      <x:c r="M118" s="6" t="n">
        <x:f>IF(B118="Hauptliste",G118-IF(AND(ISNUMBER(K118),K118&lt;=2024),H118,0),0)</x:f>
        <x:v>-736.8</x:v>
      </x:c>
      <x:c r="N118" t="str"/>
    </x:row>
    <x:row r="119">
      <x:c r="A119" t="n">
        <x:v>142</x:v>
      </x:c>
      <x:c r="B119" t="str">
        <x:v>Hauptliste</x:v>
      </x:c>
      <x:c r="C119"/>
      <x:c r="D119" t="n">
        <x:v>10121</x:v>
      </x:c>
      <x:c r="E119" t="str">
        <x:v>Simon Pirhofer</x:v>
      </x:c>
      <x:c r="F119" t="str">
        <x:v>2024-278</x:v>
      </x:c>
      <x:c r="G119" s="6" t="n">
        <x:v>120</x:v>
      </x:c>
      <x:c r="H119" s="6" t="n">
        <x:v>120</x:v>
      </x:c>
      <x:c r="I119" t="str">
        <x:v>2024-08-20</x:v>
      </x:c>
      <x:c r="J119" s="8" t="n">
        <x:v>45524.5</x:v>
      </x:c>
      <x:c r="K119" t="n">
        <x:v>2024</x:v>
      </x:c>
      <x:c r="L119" s="6" t="n">
        <x:f>G119-H119</x:f>
        <x:v>0</x:v>
      </x:c>
      <x:c r="M119" s="6" t="n">
        <x:f>IF(B119="Hauptliste",G119-IF(AND(ISNUMBER(K119),K119&lt;=2024),H119,0),0)</x:f>
        <x:v>0</x:v>
      </x:c>
      <x:c r="N119" t="str"/>
    </x:row>
    <x:row r="120">
      <x:c r="A120" t="n">
        <x:v>143</x:v>
      </x:c>
      <x:c r="B120" t="str">
        <x:v>Hauptliste</x:v>
      </x:c>
      <x:c r="C120"/>
      <x:c r="D120" t="n">
        <x:v>10121</x:v>
      </x:c>
      <x:c r="E120" t="str">
        <x:v>Simon Pirhofer</x:v>
      </x:c>
      <x:c r="F120" t="str"/>
      <x:c r="G120" s="6" t="n">
        <x:v>0</x:v>
      </x:c>
      <x:c r="H120" s="6" t="n">
        <x:v>-120</x:v>
      </x:c>
      <x:c r="I120" t="str">
        <x:v>2024-10-11</x:v>
      </x:c>
      <x:c r="J120" s="8" t="n">
        <x:v>45576.5</x:v>
      </x:c>
      <x:c r="K120" t="n">
        <x:v>2024</x:v>
      </x:c>
      <x:c r="L120" s="6" t="n">
        <x:f>G120-H120</x:f>
        <x:v>120</x:v>
      </x:c>
      <x:c r="M120" s="6" t="n">
        <x:f>IF(B120="Hauptliste",G120-IF(AND(ISNUMBER(K120),K120&lt;=2024),H120,0),0)</x:f>
        <x:v>120</x:v>
      </x:c>
      <x:c r="N120" t="str"/>
    </x:row>
    <x:row r="121">
      <x:c r="A121" t="n">
        <x:v>145</x:v>
      </x:c>
      <x:c r="B121" t="str">
        <x:v>Hauptliste</x:v>
      </x:c>
      <x:c r="C121" t="n">
        <x:v>10136</x:v>
      </x:c>
      <x:c r="D121" t="n">
        <x:v>10136</x:v>
      </x:c>
      <x:c r="E121" t="str">
        <x:v>Andrea Friedrich</x:v>
      </x:c>
      <x:c r="F121" t="str">
        <x:v>2024-252</x:v>
      </x:c>
      <x:c r="G121" s="6" t="n">
        <x:v>720</x:v>
      </x:c>
      <x:c r="H121" s="6" t="n">
        <x:v>0</x:v>
      </x:c>
      <x:c r="I121" t="str"/>
      <x:c r="J121" s="8"/>
      <x:c r="K121"/>
      <x:c r="L121" s="6" t="n">
        <x:f>G121-H121</x:f>
        <x:v>720</x:v>
      </x:c>
      <x:c r="M121" s="6" t="n">
        <x:f>IF(B121="Hauptliste",G121-IF(AND(ISNUMBER(K121),K121&lt;=2024),H121,0),0)</x:f>
        <x:v>720</x:v>
      </x:c>
      <x:c r="N121" t="str"/>
    </x:row>
    <x:row r="122">
      <x:c r="A122" t="n">
        <x:v>147</x:v>
      </x:c>
      <x:c r="B122" t="str">
        <x:v>Hauptliste</x:v>
      </x:c>
      <x:c r="C122" t="n">
        <x:v>10138</x:v>
      </x:c>
      <x:c r="D122" t="n">
        <x:v>10138</x:v>
      </x:c>
      <x:c r="E122" t="str">
        <x:v>Mariella Münchow</x:v>
      </x:c>
      <x:c r="F122" t="str">
        <x:v>2024-255</x:v>
      </x:c>
      <x:c r="G122" s="6" t="n">
        <x:v>368</x:v>
      </x:c>
      <x:c r="H122" s="6" t="n">
        <x:v>368</x:v>
      </x:c>
      <x:c r="I122" t="str">
        <x:v>2024-07-23</x:v>
      </x:c>
      <x:c r="J122" s="8" t="n">
        <x:v>45496.5</x:v>
      </x:c>
      <x:c r="K122" t="n">
        <x:v>2024</x:v>
      </x:c>
      <x:c r="L122" s="6" t="n">
        <x:f>G122-H122</x:f>
        <x:v>0</x:v>
      </x:c>
      <x:c r="M122" s="6" t="n">
        <x:f>IF(B122="Hauptliste",G122-IF(AND(ISNUMBER(K122),K122&lt;=2024),H122,0),0)</x:f>
        <x:v>0</x:v>
      </x:c>
      <x:c r="N122" t="str"/>
    </x:row>
    <x:row r="123">
      <x:c r="A123" t="n">
        <x:v>148</x:v>
      </x:c>
      <x:c r="B123" t="str">
        <x:v>Hauptliste</x:v>
      </x:c>
      <x:c r="C123"/>
      <x:c r="D123" t="n">
        <x:v>10138</x:v>
      </x:c>
      <x:c r="E123" t="str">
        <x:v>Mariella Münchow</x:v>
      </x:c>
      <x:c r="F123" t="str">
        <x:v>2024-280</x:v>
      </x:c>
      <x:c r="G123" s="6" t="n">
        <x:v>452</x:v>
      </x:c>
      <x:c r="H123" s="6" t="n">
        <x:v>0</x:v>
      </x:c>
      <x:c r="I123" t="str"/>
      <x:c r="J123" s="8"/>
      <x:c r="K123"/>
      <x:c r="L123" s="6" t="n">
        <x:f>G123-H123</x:f>
        <x:v>452</x:v>
      </x:c>
      <x:c r="M123" s="6" t="n">
        <x:f>IF(B123="Hauptliste",G123-IF(AND(ISNUMBER(K123),K123&lt;=2024),H123,0),0)</x:f>
        <x:v>452</x:v>
      </x:c>
      <x:c r="N123" t="str"/>
    </x:row>
    <x:row r="124">
      <x:c r="A124" t="n">
        <x:v>150</x:v>
      </x:c>
      <x:c r="B124" t="str">
        <x:v>Hauptliste</x:v>
      </x:c>
      <x:c r="C124" t="n">
        <x:v>10139</x:v>
      </x:c>
      <x:c r="D124" t="n">
        <x:v>10139</x:v>
      </x:c>
      <x:c r="E124" t="str">
        <x:v>Alexandre Berthault</x:v>
      </x:c>
      <x:c r="F124" t="str">
        <x:v>2024-256</x:v>
      </x:c>
      <x:c r="G124" s="6" t="n">
        <x:v>428</x:v>
      </x:c>
      <x:c r="H124" s="6" t="n">
        <x:v>278</x:v>
      </x:c>
      <x:c r="I124" t="str">
        <x:v>2024-07-22</x:v>
      </x:c>
      <x:c r="J124" s="8" t="n">
        <x:v>45495.5</x:v>
      </x:c>
      <x:c r="K124" t="n">
        <x:v>2024</x:v>
      </x:c>
      <x:c r="L124" s="6" t="n">
        <x:f>G124-H124</x:f>
        <x:v>150</x:v>
      </x:c>
      <x:c r="M124" s="6" t="n">
        <x:f>IF(B124="Hauptliste",G124-IF(AND(ISNUMBER(K124),K124&lt;=2024),H124,0),0)</x:f>
        <x:v>150</x:v>
      </x:c>
      <x:c r="N124" t="str"/>
    </x:row>
    <x:row r="125">
      <x:c r="A125" t="n">
        <x:v>152</x:v>
      </x:c>
      <x:c r="B125" t="str">
        <x:v>Hauptliste</x:v>
      </x:c>
      <x:c r="C125" t="n">
        <x:v>10142</x:v>
      </x:c>
      <x:c r="D125" t="n">
        <x:v>10142</x:v>
      </x:c>
      <x:c r="E125" t="str">
        <x:v>Akawung Moses</x:v>
      </x:c>
      <x:c r="F125" t="str">
        <x:v>2024-260</x:v>
      </x:c>
      <x:c r="G125" s="6" t="n">
        <x:v>441</x:v>
      </x:c>
      <x:c r="H125" s="6" t="n">
        <x:v>0</x:v>
      </x:c>
      <x:c r="I125" t="str"/>
      <x:c r="J125" s="8"/>
      <x:c r="K125"/>
      <x:c r="L125" s="6" t="n">
        <x:f>G125-H125</x:f>
        <x:v>441</x:v>
      </x:c>
      <x:c r="M125" s="6" t="n">
        <x:f>IF(B125="Hauptliste",G125-IF(AND(ISNUMBER(K125),K125&lt;=2024),H125,0),0)</x:f>
        <x:v>441</x:v>
      </x:c>
      <x:c r="N125" t="str"/>
    </x:row>
    <x:row r="126">
      <x:c r="A126" t="n">
        <x:v>154</x:v>
      </x:c>
      <x:c r="B126" t="str">
        <x:v>Hauptliste</x:v>
      </x:c>
      <x:c r="C126" t="n">
        <x:v>10143</x:v>
      </x:c>
      <x:c r="D126" t="n">
        <x:v>10143</x:v>
      </x:c>
      <x:c r="E126" t="str">
        <x:v>Nicole Farrier</x:v>
      </x:c>
      <x:c r="F126" t="str">
        <x:v>2024-261</x:v>
      </x:c>
      <x:c r="G126" s="6" t="n">
        <x:v>477</x:v>
      </x:c>
      <x:c r="H126" s="6" t="n">
        <x:v>477</x:v>
      </x:c>
      <x:c r="I126" t="str">
        <x:v>2024-11-28</x:v>
      </x:c>
      <x:c r="J126" s="8" t="n">
        <x:v>45624.5</x:v>
      </x:c>
      <x:c r="K126" t="n">
        <x:v>2024</x:v>
      </x:c>
      <x:c r="L126" s="6" t="n">
        <x:f>G126-H126</x:f>
        <x:v>0</x:v>
      </x:c>
      <x:c r="M126" s="6" t="n">
        <x:f>IF(B126="Hauptliste",G126-IF(AND(ISNUMBER(K126),K126&lt;=2024),H126,0),0)</x:f>
        <x:v>0</x:v>
      </x:c>
      <x:c r="N126" t="str"/>
    </x:row>
    <x:row r="127">
      <x:c r="A127" t="n">
        <x:v>155</x:v>
      </x:c>
      <x:c r="B127" t="str">
        <x:v>Hauptliste</x:v>
      </x:c>
      <x:c r="C127"/>
      <x:c r="D127" t="n">
        <x:v>10143</x:v>
      </x:c>
      <x:c r="E127" t="str">
        <x:v>Nicole Farrier</x:v>
      </x:c>
      <x:c r="F127" t="str"/>
      <x:c r="G127" s="6" t="n">
        <x:v>0</x:v>
      </x:c>
      <x:c r="H127" s="6" t="n">
        <x:v>477</x:v>
      </x:c>
      <x:c r="I127" t="str">
        <x:v>2024-12-17</x:v>
      </x:c>
      <x:c r="J127" s="8" t="n">
        <x:v>45643.5</x:v>
      </x:c>
      <x:c r="K127" t="n">
        <x:v>2024</x:v>
      </x:c>
      <x:c r="L127" s="6" t="n">
        <x:f>G127-H127</x:f>
        <x:v>-477</x:v>
      </x:c>
      <x:c r="M127" s="6" t="n">
        <x:f>IF(B127="Hauptliste",G127-IF(AND(ISNUMBER(K127),K127&lt;=2024),H127,0),0)</x:f>
        <x:v>-477</x:v>
      </x:c>
      <x:c r="N127" t="str"/>
    </x:row>
    <x:row r="128">
      <x:c r="A128" t="n">
        <x:v>157</x:v>
      </x:c>
      <x:c r="B128" t="str">
        <x:v>Hauptliste</x:v>
      </x:c>
      <x:c r="C128" t="n">
        <x:v>10154</x:v>
      </x:c>
      <x:c r="D128" t="n">
        <x:v>10154</x:v>
      </x:c>
      <x:c r="E128" t="str">
        <x:v>Aleskei Tkachenko</x:v>
      </x:c>
      <x:c r="F128" t="str">
        <x:v>2024-272</x:v>
      </x:c>
      <x:c r="G128" s="6" t="n">
        <x:v>9900</x:v>
      </x:c>
      <x:c r="H128" s="6" t="n">
        <x:v>3960</x:v>
      </x:c>
      <x:c r="I128" t="str">
        <x:v>2024-08-02</x:v>
      </x:c>
      <x:c r="J128" s="8" t="n">
        <x:v>45506.5</x:v>
      </x:c>
      <x:c r="K128" t="n">
        <x:v>2024</x:v>
      </x:c>
      <x:c r="L128" s="6" t="n">
        <x:f>G128-H128</x:f>
        <x:v>5940</x:v>
      </x:c>
      <x:c r="M128" s="6" t="n">
        <x:f>IF(B128="Hauptliste",G128-IF(AND(ISNUMBER(K128),K128&lt;=2024),H128,0),0)</x:f>
        <x:v>5940</x:v>
      </x:c>
      <x:c r="N128" t="str"/>
    </x:row>
    <x:row r="129">
      <x:c r="A129" t="n">
        <x:v>158</x:v>
      </x:c>
      <x:c r="B129" t="str">
        <x:v>Hauptliste</x:v>
      </x:c>
      <x:c r="C129"/>
      <x:c r="D129" t="n">
        <x:v>10154</x:v>
      </x:c>
      <x:c r="E129" t="str">
        <x:v>Aleskei Tkachenko</x:v>
      </x:c>
      <x:c r="F129" t="str"/>
      <x:c r="G129" s="6" t="n">
        <x:v>0</x:v>
      </x:c>
      <x:c r="H129" s="6" t="n">
        <x:v>4000</x:v>
      </x:c>
      <x:c r="I129" t="str">
        <x:v>2024-12-16</x:v>
      </x:c>
      <x:c r="J129" s="8" t="n">
        <x:v>45642.5</x:v>
      </x:c>
      <x:c r="K129" t="n">
        <x:v>2024</x:v>
      </x:c>
      <x:c r="L129" s="6" t="n">
        <x:f>G129-H129</x:f>
        <x:v>-4000</x:v>
      </x:c>
      <x:c r="M129" s="6" t="n">
        <x:f>IF(B129="Hauptliste",G129-IF(AND(ISNUMBER(K129),K129&lt;=2024),H129,0),0)</x:f>
        <x:v>-4000</x:v>
      </x:c>
      <x:c r="N129" t="str"/>
    </x:row>
    <x:row r="130">
      <x:c r="A130" t="n">
        <x:v>159</x:v>
      </x:c>
      <x:c r="B130" t="str">
        <x:v>Hauptliste</x:v>
      </x:c>
      <x:c r="C130"/>
      <x:c r="D130" t="n">
        <x:v>10154</x:v>
      </x:c>
      <x:c r="E130" t="str">
        <x:v>Aleskei Tkachenko</x:v>
      </x:c>
      <x:c r="F130" t="str"/>
      <x:c r="G130" s="6" t="n">
        <x:v>0</x:v>
      </x:c>
      <x:c r="H130" s="6" t="n">
        <x:v>1940</x:v>
      </x:c>
      <x:c r="I130" t="str">
        <x:v>2024-12-17</x:v>
      </x:c>
      <x:c r="J130" s="8" t="n">
        <x:v>45643.5</x:v>
      </x:c>
      <x:c r="K130" t="n">
        <x:v>2024</x:v>
      </x:c>
      <x:c r="L130" s="6" t="n">
        <x:f>G130-H130</x:f>
        <x:v>-1940</x:v>
      </x:c>
      <x:c r="M130" s="6" t="n">
        <x:f>IF(B130="Hauptliste",G130-IF(AND(ISNUMBER(K130),K130&lt;=2024),H130,0),0)</x:f>
        <x:v>-1940</x:v>
      </x:c>
      <x:c r="N130" t="str"/>
    </x:row>
    <x:row r="131">
      <x:c r="A131" t="n">
        <x:v>160</x:v>
      </x:c>
      <x:c r="B131" t="str">
        <x:v>Hauptliste</x:v>
      </x:c>
      <x:c r="C131"/>
      <x:c r="D131" t="n">
        <x:v>10154</x:v>
      </x:c>
      <x:c r="E131" t="str">
        <x:v>Aleskei Tkachenko</x:v>
      </x:c>
      <x:c r="F131" t="str">
        <x:v>2024-347</x:v>
      </x:c>
      <x:c r="G131" s="6" t="n">
        <x:v>0</x:v>
      </x:c>
      <x:c r="H131" s="6" t="n">
        <x:v>544</x:v>
      </x:c>
      <x:c r="I131" t="str">
        <x:v>2025-05-23</x:v>
      </x:c>
      <x:c r="J131" s="8" t="n">
        <x:v>45800.5</x:v>
      </x:c>
      <x:c r="K131" t="n">
        <x:v>2025</x:v>
      </x:c>
      <x:c r="L131" s="6" t="n">
        <x:f>G131-H131</x:f>
        <x:v>-544</x:v>
      </x:c>
      <x:c r="M131" s="6" t="n">
        <x:f>IF(B131="Hauptliste",G131-IF(AND(ISNUMBER(K131),K131&lt;=2024),H131,0),0)</x:f>
        <x:v>0</x:v>
      </x:c>
      <x:c r="N131" t="str"/>
    </x:row>
    <x:row r="132">
      <x:c r="A132" t="n">
        <x:v>162</x:v>
      </x:c>
      <x:c r="B132" t="str">
        <x:v>Hauptliste</x:v>
      </x:c>
      <x:c r="C132"/>
      <x:c r="D132" t="n">
        <x:v>10154</x:v>
      </x:c>
      <x:c r="E132" t="str">
        <x:v>Aleskei Tkachenko</x:v>
      </x:c>
      <x:c r="F132" t="str">
        <x:v>2024-352</x:v>
      </x:c>
      <x:c r="G132" s="6" t="n">
        <x:v>90</x:v>
      </x:c>
      <x:c r="H132" s="6" t="n">
        <x:v>0</x:v>
      </x:c>
      <x:c r="I132" t="str"/>
      <x:c r="J132" s="8"/>
      <x:c r="K132"/>
      <x:c r="L132" s="6" t="n">
        <x:f>G132-H132</x:f>
        <x:v>90</x:v>
      </x:c>
      <x:c r="M132" s="6" t="n">
        <x:f>IF(B132="Hauptliste",G132-IF(AND(ISNUMBER(K132),K132&lt;=2024),H132,0),0)</x:f>
        <x:v>90</x:v>
      </x:c>
      <x:c r="N132" t="str"/>
    </x:row>
    <x:row r="133">
      <x:c r="A133" t="n">
        <x:v>164</x:v>
      </x:c>
      <x:c r="B133" t="str">
        <x:v>Hauptliste</x:v>
      </x:c>
      <x:c r="C133" t="n">
        <x:v>10161</x:v>
      </x:c>
      <x:c r="D133" t="n">
        <x:v>10161</x:v>
      </x:c>
      <x:c r="E133" t="str">
        <x:v>Brittanne Macey</x:v>
      </x:c>
      <x:c r="F133" t="str">
        <x:v>2024-282</x:v>
      </x:c>
      <x:c r="G133" s="6" t="n">
        <x:v>432</x:v>
      </x:c>
      <x:c r="H133" s="6" t="n">
        <x:v>0</x:v>
      </x:c>
      <x:c r="I133" t="str"/>
      <x:c r="J133" s="8"/>
      <x:c r="K133"/>
      <x:c r="L133" s="6" t="n">
        <x:f>G133-H133</x:f>
        <x:v>432</x:v>
      </x:c>
      <x:c r="M133" s="6" t="n">
        <x:f>IF(B133="Hauptliste",G133-IF(AND(ISNUMBER(K133),K133&lt;=2024),H133,0),0)</x:f>
        <x:v>432</x:v>
      </x:c>
      <x:c r="N133" t="str"/>
    </x:row>
    <x:row r="134">
      <x:c r="A134" t="n">
        <x:v>166</x:v>
      </x:c>
      <x:c r="B134" t="str">
        <x:v>Hauptliste</x:v>
      </x:c>
      <x:c r="C134" t="n">
        <x:v>10163</x:v>
      </x:c>
      <x:c r="D134" t="n">
        <x:v>10163</x:v>
      </x:c>
      <x:c r="E134" t="str">
        <x:v>Heloise Parent</x:v>
      </x:c>
      <x:c r="F134" t="str">
        <x:v>2024-284</x:v>
      </x:c>
      <x:c r="G134" s="6" t="n">
        <x:v>343.2</x:v>
      </x:c>
      <x:c r="H134" s="6" t="n">
        <x:v>0</x:v>
      </x:c>
      <x:c r="I134" t="str"/>
      <x:c r="J134" s="8"/>
      <x:c r="K134"/>
      <x:c r="L134" s="6" t="n">
        <x:f>G134-H134</x:f>
        <x:v>343.2</x:v>
      </x:c>
      <x:c r="M134" s="6" t="n">
        <x:f>IF(B134="Hauptliste",G134-IF(AND(ISNUMBER(K134),K134&lt;=2024),H134,0),0)</x:f>
        <x:v>343.2</x:v>
      </x:c>
      <x:c r="N134" t="str"/>
    </x:row>
    <x:row r="135">
      <x:c r="A135" t="n">
        <x:v>168</x:v>
      </x:c>
      <x:c r="B135" t="str">
        <x:v>Hauptliste</x:v>
      </x:c>
      <x:c r="C135" t="n">
        <x:v>10166</x:v>
      </x:c>
      <x:c r="D135" t="n">
        <x:v>10166</x:v>
      </x:c>
      <x:c r="E135" t="str">
        <x:v>Sofie Korczak</x:v>
      </x:c>
      <x:c r="F135" t="str">
        <x:v>2024-288</x:v>
      </x:c>
      <x:c r="G135" s="6" t="n">
        <x:v>1726</x:v>
      </x:c>
      <x:c r="H135" s="6" t="n">
        <x:v>1726</x:v>
      </x:c>
      <x:c r="I135" t="str">
        <x:v>2025-01-03</x:v>
      </x:c>
      <x:c r="J135" s="8" t="n">
        <x:v>45660.5</x:v>
      </x:c>
      <x:c r="K135" t="n">
        <x:v>2025</x:v>
      </x:c>
      <x:c r="L135" s="6" t="n">
        <x:f>G135-H135</x:f>
        <x:v>0</x:v>
      </x:c>
      <x:c r="M135" s="6" t="n">
        <x:f>IF(B135="Hauptliste",G135-IF(AND(ISNUMBER(K135),K135&lt;=2024),H135,0),0)</x:f>
        <x:v>1726</x:v>
      </x:c>
      <x:c r="N135" t="str"/>
    </x:row>
    <x:row r="136">
      <x:c r="A136" t="n">
        <x:v>170</x:v>
      </x:c>
      <x:c r="B136" t="str">
        <x:v>Hauptliste</x:v>
      </x:c>
      <x:c r="C136" t="n">
        <x:v>10171</x:v>
      </x:c>
      <x:c r="D136" t="n">
        <x:v>10171</x:v>
      </x:c>
      <x:c r="E136" t="str">
        <x:v>Sandra Oberle</x:v>
      </x:c>
      <x:c r="F136" t="str">
        <x:v>2024-294</x:v>
      </x:c>
      <x:c r="G136" s="6" t="n">
        <x:v>205.86</x:v>
      </x:c>
      <x:c r="H136" s="6" t="n">
        <x:v>0</x:v>
      </x:c>
      <x:c r="I136" t="str"/>
      <x:c r="J136" s="8"/>
      <x:c r="K136"/>
      <x:c r="L136" s="6" t="n">
        <x:f>G136-H136</x:f>
        <x:v>205.86</x:v>
      </x:c>
      <x:c r="M136" s="6" t="n">
        <x:f>IF(B136="Hauptliste",G136-IF(AND(ISNUMBER(K136),K136&lt;=2024),H136,0),0)</x:f>
        <x:v>205.86</x:v>
      </x:c>
      <x:c r="N136" t="str">
        <x:v>Quelle: „neu gebucht in 2025“; DATEV zeigt 16.09.2024 offen.</x:v>
      </x:c>
    </x:row>
    <x:row r="137">
      <x:c r="A137" t="n">
        <x:v>172</x:v>
      </x:c>
      <x:c r="B137" t="str">
        <x:v>Hauptliste</x:v>
      </x:c>
      <x:c r="C137" t="n">
        <x:v>10173</x:v>
      </x:c>
      <x:c r="D137" t="n">
        <x:v>10173</x:v>
      </x:c>
      <x:c r="E137" t="str">
        <x:v>Chiara Asisha Klein</x:v>
      </x:c>
      <x:c r="F137" t="str">
        <x:v>2024-296</x:v>
      </x:c>
      <x:c r="G137" s="6" t="n">
        <x:v>0</x:v>
      </x:c>
      <x:c r="H137" s="6" t="n">
        <x:v>421.6</x:v>
      </x:c>
      <x:c r="I137" t="str">
        <x:v>2025-05-13</x:v>
      </x:c>
      <x:c r="J137" s="8" t="n">
        <x:v>45790.5</x:v>
      </x:c>
      <x:c r="K137" t="n">
        <x:v>2025</x:v>
      </x:c>
      <x:c r="L137" s="6" t="n">
        <x:f>G137-H137</x:f>
        <x:v>-421.6</x:v>
      </x:c>
      <x:c r="M137" s="6" t="n">
        <x:f>IF(B137="Hauptliste",G137-IF(AND(ISNUMBER(K137),K137&lt;=2024),H137,0),0)</x:f>
        <x:v>0</x:v>
      </x:c>
      <x:c r="N137" t="str"/>
    </x:row>
    <x:row r="138">
      <x:c r="A138" t="n">
        <x:v>174</x:v>
      </x:c>
      <x:c r="B138" t="str">
        <x:v>Hauptliste</x:v>
      </x:c>
      <x:c r="C138"/>
      <x:c r="D138" t="n">
        <x:v>10173</x:v>
      </x:c>
      <x:c r="E138" t="str">
        <x:v>Chiara Asisha Klein</x:v>
      </x:c>
      <x:c r="F138" t="str">
        <x:v>2024-332</x:v>
      </x:c>
      <x:c r="G138" s="6" t="n">
        <x:v>490</x:v>
      </x:c>
      <x:c r="H138" s="6" t="n">
        <x:v>490</x:v>
      </x:c>
      <x:c r="I138" t="str">
        <x:v>2025-05-13</x:v>
      </x:c>
      <x:c r="J138" s="8" t="n">
        <x:v>45790.5</x:v>
      </x:c>
      <x:c r="K138" t="n">
        <x:v>2025</x:v>
      </x:c>
      <x:c r="L138" s="6" t="n">
        <x:f>G138-H138</x:f>
        <x:v>0</x:v>
      </x:c>
      <x:c r="M138" s="6" t="n">
        <x:f>IF(B138="Hauptliste",G138-IF(AND(ISNUMBER(K138),K138&lt;=2024),H138,0),0)</x:f>
        <x:v>490</x:v>
      </x:c>
      <x:c r="N138" t="str"/>
    </x:row>
    <x:row r="139">
      <x:c r="A139" t="n">
        <x:v>176</x:v>
      </x:c>
      <x:c r="B139" t="str">
        <x:v>Hauptliste</x:v>
      </x:c>
      <x:c r="C139"/>
      <x:c r="D139" t="n">
        <x:v>10173</x:v>
      </x:c>
      <x:c r="E139" t="str">
        <x:v>Chiara Asisha Klein</x:v>
      </x:c>
      <x:c r="F139" t="str">
        <x:v>2024-343</x:v>
      </x:c>
      <x:c r="G139" s="6" t="n">
        <x:v>300</x:v>
      </x:c>
      <x:c r="H139" s="6" t="n">
        <x:v>300</x:v>
      </x:c>
      <x:c r="I139" t="str">
        <x:v>2025-06-23</x:v>
      </x:c>
      <x:c r="J139" s="8" t="n">
        <x:v>45831.5</x:v>
      </x:c>
      <x:c r="K139" t="n">
        <x:v>2025</x:v>
      </x:c>
      <x:c r="L139" s="6" t="n">
        <x:f>G139-H139</x:f>
        <x:v>0</x:v>
      </x:c>
      <x:c r="M139" s="6" t="n">
        <x:f>IF(B139="Hauptliste",G139-IF(AND(ISNUMBER(K139),K139&lt;=2024),H139,0),0)</x:f>
        <x:v>300</x:v>
      </x:c>
      <x:c r="N139" t="str"/>
    </x:row>
    <x:row r="140">
      <x:c r="A140" t="n">
        <x:v>178</x:v>
      </x:c>
      <x:c r="B140" t="str">
        <x:v>Hauptliste</x:v>
      </x:c>
      <x:c r="C140" t="n">
        <x:v>10174</x:v>
      </x:c>
      <x:c r="D140" t="n">
        <x:v>10174</x:v>
      </x:c>
      <x:c r="E140" t="str">
        <x:v>Estelle Gilleron</x:v>
      </x:c>
      <x:c r="F140" t="str">
        <x:v>2024-297</x:v>
      </x:c>
      <x:c r="G140" s="6" t="n">
        <x:v>550</x:v>
      </x:c>
      <x:c r="H140" s="6" t="n">
        <x:v>0</x:v>
      </x:c>
      <x:c r="I140" t="str"/>
      <x:c r="J140" s="8"/>
      <x:c r="K140"/>
      <x:c r="L140" s="6" t="n">
        <x:f>G140-H140</x:f>
        <x:v>550</x:v>
      </x:c>
      <x:c r="M140" s="6" t="n">
        <x:f>IF(B140="Hauptliste",G140-IF(AND(ISNUMBER(K140),K140&lt;=2024),H140,0),0)</x:f>
        <x:v>550</x:v>
      </x:c>
      <x:c r="N140" t="str"/>
    </x:row>
    <x:row r="141">
      <x:c r="A141" t="n">
        <x:v>180</x:v>
      </x:c>
      <x:c r="B141" t="str">
        <x:v>Hauptliste</x:v>
      </x:c>
      <x:c r="C141" t="n">
        <x:v>10177</x:v>
      </x:c>
      <x:c r="D141" t="n">
        <x:v>10177</x:v>
      </x:c>
      <x:c r="E141" t="str">
        <x:v>Ela Centimese</x:v>
      </x:c>
      <x:c r="F141" t="str">
        <x:v>?</x:v>
      </x:c>
      <x:c r="G141" s="6" t="n">
        <x:v>0</x:v>
      </x:c>
      <x:c r="H141" s="6" t="n">
        <x:v>2055.2</x:v>
      </x:c>
      <x:c r="I141" t="str">
        <x:v>2024-12-02</x:v>
      </x:c>
      <x:c r="J141" s="8" t="n">
        <x:v>45628.5</x:v>
      </x:c>
      <x:c r="K141" t="n">
        <x:v>2024</x:v>
      </x:c>
      <x:c r="L141" s="6" t="n">
        <x:f>G141-H141</x:f>
        <x:v>-2055.2</x:v>
      </x:c>
      <x:c r="M141" s="6" t="n">
        <x:f>IF(B141="Hauptliste",G141-IF(AND(ISNUMBER(K141),K141&lt;=2024),H141,0),0)</x:f>
        <x:v>-2055.2</x:v>
      </x:c>
      <x:c r="N141" t="str"/>
    </x:row>
    <x:row r="142">
      <x:c r="A142" t="n">
        <x:v>182</x:v>
      </x:c>
      <x:c r="B142" t="str">
        <x:v>Hauptliste</x:v>
      </x:c>
      <x:c r="C142" t="n">
        <x:v>10178</x:v>
      </x:c>
      <x:c r="D142" t="n">
        <x:v>10178</x:v>
      </x:c>
      <x:c r="E142" t="str">
        <x:v>Julian Botschafter</x:v>
      </x:c>
      <x:c r="F142" t="str">
        <x:v>2024-301</x:v>
      </x:c>
      <x:c r="G142" s="6" t="n">
        <x:v>1850</x:v>
      </x:c>
      <x:c r="H142" s="6" t="n">
        <x:v>370</x:v>
      </x:c>
      <x:c r="I142" t="str">
        <x:v>2024-10-01</x:v>
      </x:c>
      <x:c r="J142" s="8" t="n">
        <x:v>45566.5</x:v>
      </x:c>
      <x:c r="K142" t="n">
        <x:v>2024</x:v>
      </x:c>
      <x:c r="L142" s="6" t="n">
        <x:f>G142-H142</x:f>
        <x:v>1480</x:v>
      </x:c>
      <x:c r="M142" s="6" t="n">
        <x:f>IF(B142="Hauptliste",G142-IF(AND(ISNUMBER(K142),K142&lt;=2024),H142,0),0)</x:f>
        <x:v>1480</x:v>
      </x:c>
      <x:c r="N142" t="str"/>
    </x:row>
    <x:row r="143">
      <x:c r="A143" t="n">
        <x:v>183</x:v>
      </x:c>
      <x:c r="B143" t="str">
        <x:v>Hauptliste</x:v>
      </x:c>
      <x:c r="C143"/>
      <x:c r="D143" t="n">
        <x:v>10178</x:v>
      </x:c>
      <x:c r="E143" t="str">
        <x:v>Julian Botschafter</x:v>
      </x:c>
      <x:c r="F143" t="str"/>
      <x:c r="G143" s="6" t="n">
        <x:v>0</x:v>
      </x:c>
      <x:c r="H143" s="6" t="n">
        <x:v>1480</x:v>
      </x:c>
      <x:c r="I143" t="str">
        <x:v>2025-01-20</x:v>
      </x:c>
      <x:c r="J143" s="8" t="n">
        <x:v>45677.5</x:v>
      </x:c>
      <x:c r="K143" t="n">
        <x:v>2025</x:v>
      </x:c>
      <x:c r="L143" s="6" t="n">
        <x:f>G143-H143</x:f>
        <x:v>-1480</x:v>
      </x:c>
      <x:c r="M143" s="6" t="n">
        <x:f>IF(B143="Hauptliste",G143-IF(AND(ISNUMBER(K143),K143&lt;=2024),H143,0),0)</x:f>
        <x:v>0</x:v>
      </x:c>
      <x:c r="N143" t="str"/>
    </x:row>
    <x:row r="144">
      <x:c r="A144" t="n">
        <x:v>184</x:v>
      </x:c>
      <x:c r="B144" t="str">
        <x:v>Hauptliste</x:v>
      </x:c>
      <x:c r="C144" t="n">
        <x:v>10204</x:v>
      </x:c>
      <x:c r="D144" t="n">
        <x:v>10204</x:v>
      </x:c>
      <x:c r="E144" t="str">
        <x:v>Ivana Forde</x:v>
      </x:c>
      <x:c r="F144" t="str">
        <x:v>2024-336</x:v>
      </x:c>
      <x:c r="G144" s="6" t="n">
        <x:v>1120</x:v>
      </x:c>
      <x:c r="H144" s="6" t="n">
        <x:v>0</x:v>
      </x:c>
      <x:c r="I144" t="str"/>
      <x:c r="J144" s="8"/>
      <x:c r="K144"/>
      <x:c r="L144" s="6" t="n">
        <x:f>G144-H144</x:f>
        <x:v>1120</x:v>
      </x:c>
      <x:c r="M144" s="6" t="n">
        <x:f>IF(B144="Hauptliste",G144-IF(AND(ISNUMBER(K144),K144&lt;=2024),H144,0),0)</x:f>
        <x:v>1120</x:v>
      </x:c>
      <x:c r="N144" t="str"/>
    </x:row>
    <x:row r="145">
      <x:c r="A145" t="n">
        <x:v>186</x:v>
      </x:c>
      <x:c r="B145" t="str">
        <x:v>Hauptliste</x:v>
      </x:c>
      <x:c r="C145" t="n">
        <x:v>10213</x:v>
      </x:c>
      <x:c r="D145" t="n">
        <x:v>10213</x:v>
      </x:c>
      <x:c r="E145" t="str">
        <x:v>Luis Schley</x:v>
      </x:c>
      <x:c r="F145" t="str">
        <x:v>2024-354</x:v>
      </x:c>
      <x:c r="G145" s="6" t="n">
        <x:v>1291</x:v>
      </x:c>
      <x:c r="H145" s="6" t="n">
        <x:v>1291</x:v>
      </x:c>
      <x:c r="I145" t="str">
        <x:v>2025-01-03</x:v>
      </x:c>
      <x:c r="J145" s="8" t="n">
        <x:v>45660.5</x:v>
      </x:c>
      <x:c r="K145" t="n">
        <x:v>2025</x:v>
      </x:c>
      <x:c r="L145" s="6" t="n">
        <x:f>G145-H145</x:f>
        <x:v>0</x:v>
      </x:c>
      <x:c r="M145" s="6" t="n">
        <x:f>IF(B145="Hauptliste",G145-IF(AND(ISNUMBER(K145),K145&lt;=2024),H145,0),0)</x:f>
        <x:v>1291</x:v>
      </x:c>
      <x:c r="N145" t="str"/>
    </x:row>
    <x:row r="146">
      <x:c r="A146" t="n">
        <x:v>188</x:v>
      </x:c>
      <x:c r="B146" t="str">
        <x:v>Hauptliste</x:v>
      </x:c>
      <x:c r="C146" t="n">
        <x:v>10217</x:v>
      </x:c>
      <x:c r="D146" t="n">
        <x:v>10217</x:v>
      </x:c>
      <x:c r="E146" t="str">
        <x:v>Luca Finn Kapoor</x:v>
      </x:c>
      <x:c r="F146" t="str">
        <x:v>20024-359</x:v>
      </x:c>
      <x:c r="G146" s="6" t="n">
        <x:v>1382</x:v>
      </x:c>
      <x:c r="H146" s="6" t="n">
        <x:v>1382</x:v>
      </x:c>
      <x:c r="I146" t="str">
        <x:v>2025-01-08</x:v>
      </x:c>
      <x:c r="J146" s="8" t="n">
        <x:v>45665.5</x:v>
      </x:c>
      <x:c r="K146" t="n">
        <x:v>2025</x:v>
      </x:c>
      <x:c r="L146" s="6" t="n">
        <x:f>G146-H146</x:f>
        <x:v>0</x:v>
      </x:c>
      <x:c r="M146" s="6" t="n">
        <x:f>IF(B146="Hauptliste",G146-IF(AND(ISNUMBER(K146),K146&lt;=2024),H146,0),0)</x:f>
        <x:v>1382</x:v>
      </x:c>
      <x:c r="N146" t="str"/>
    </x:row>
    <x:row r="147">
      <x:c r="A147" t="n">
        <x:v>190</x:v>
      </x:c>
      <x:c r="B147" t="str">
        <x:v>Hauptliste</x:v>
      </x:c>
      <x:c r="C147" t="n">
        <x:v>10220</x:v>
      </x:c>
      <x:c r="D147" t="n">
        <x:v>10220</x:v>
      </x:c>
      <x:c r="E147" t="str">
        <x:v>Maya Buhl</x:v>
      </x:c>
      <x:c r="F147" t="str">
        <x:v>2024-362</x:v>
      </x:c>
      <x:c r="G147" s="6" t="n">
        <x:v>427</x:v>
      </x:c>
      <x:c r="H147" s="6" t="n">
        <x:v>427</x:v>
      </x:c>
      <x:c r="I147" t="str">
        <x:v>2025-01-06</x:v>
      </x:c>
      <x:c r="J147" s="8" t="n">
        <x:v>45663.5</x:v>
      </x:c>
      <x:c r="K147" t="n">
        <x:v>2025</x:v>
      </x:c>
      <x:c r="L147" s="6" t="n">
        <x:f>G147-H147</x:f>
        <x:v>0</x:v>
      </x:c>
      <x:c r="M147" s="6" t="n">
        <x:f>IF(B147="Hauptliste",G147-IF(AND(ISNUMBER(K147),K147&lt;=2024),H147,0),0)</x:f>
        <x:v>427</x:v>
      </x:c>
      <x:c r="N147" t="str"/>
    </x:row>
    <x:row r="148">
      <x:c r="A148" t="n">
        <x:v>192</x:v>
      </x:c>
      <x:c r="B148" t="str">
        <x:v>Hauptliste</x:v>
      </x:c>
      <x:c r="C148" t="n">
        <x:v>10221</x:v>
      </x:c>
      <x:c r="D148" t="n">
        <x:v>10221</x:v>
      </x:c>
      <x:c r="E148" t="str">
        <x:v>Léo Paul Cord'homme</x:v>
      </x:c>
      <x:c r="F148" t="str">
        <x:v>2024-363</x:v>
      </x:c>
      <x:c r="G148" s="6" t="n">
        <x:v>815</x:v>
      </x:c>
      <x:c r="H148" s="6" t="n">
        <x:v>815</x:v>
      </x:c>
      <x:c r="I148" t="str">
        <x:v>2025-02-20</x:v>
      </x:c>
      <x:c r="J148" s="8" t="n">
        <x:v>45708.5</x:v>
      </x:c>
      <x:c r="K148" t="n">
        <x:v>2025</x:v>
      </x:c>
      <x:c r="L148" s="6" t="n">
        <x:f>G148-H148</x:f>
        <x:v>0</x:v>
      </x:c>
      <x:c r="M148" s="6" t="n">
        <x:f>IF(B148="Hauptliste",G148-IF(AND(ISNUMBER(K148),K148&lt;=2024),H148,0),0)</x:f>
        <x:v>815</x:v>
      </x:c>
      <x:c r="N148" t="str"/>
    </x:row>
    <x:row r="149">
      <x:c r="A149" t="n">
        <x:v>194</x:v>
      </x:c>
      <x:c r="B149" t="str">
        <x:v>Hauptliste</x:v>
      </x:c>
      <x:c r="C149" t="n">
        <x:v>10222</x:v>
      </x:c>
      <x:c r="D149" t="n">
        <x:v>10222</x:v>
      </x:c>
      <x:c r="E149" t="str">
        <x:v>Alice Renoux</x:v>
      </x:c>
      <x:c r="F149" t="str">
        <x:v>2024-364</x:v>
      </x:c>
      <x:c r="G149" s="6" t="n">
        <x:v>815</x:v>
      </x:c>
      <x:c r="H149" s="6" t="n">
        <x:v>815</x:v>
      </x:c>
      <x:c r="I149" t="str">
        <x:v>2025-02-17</x:v>
      </x:c>
      <x:c r="J149" s="8" t="n">
        <x:v>45705.5</x:v>
      </x:c>
      <x:c r="K149" t="n">
        <x:v>2025</x:v>
      </x:c>
      <x:c r="L149" s="6" t="n">
        <x:f>G149-H149</x:f>
        <x:v>0</x:v>
      </x:c>
      <x:c r="M149" s="6" t="n">
        <x:f>IF(B149="Hauptliste",G149-IF(AND(ISNUMBER(K149),K149&lt;=2024),H149,0),0)</x:f>
        <x:v>815</x:v>
      </x:c>
      <x:c r="N149" t="str"/>
    </x:row>
    <x:row r="150">
      <x:c r="A150" t="n">
        <x:v>196</x:v>
      </x:c>
      <x:c r="B150" t="str">
        <x:v>Hauptliste</x:v>
      </x:c>
      <x:c r="C150" t="n">
        <x:v>10223</x:v>
      </x:c>
      <x:c r="D150" t="n">
        <x:v>10223</x:v>
      </x:c>
      <x:c r="E150" t="str">
        <x:v>Noah Hess</x:v>
      </x:c>
      <x:c r="F150" t="str">
        <x:v>2024-365</x:v>
      </x:c>
      <x:c r="G150" s="6" t="n">
        <x:v>1018</x:v>
      </x:c>
      <x:c r="H150" s="6" t="n">
        <x:v>1018</x:v>
      </x:c>
      <x:c r="I150" t="str">
        <x:v>2025-01-17</x:v>
      </x:c>
      <x:c r="J150" s="8" t="n">
        <x:v>45674.5</x:v>
      </x:c>
      <x:c r="K150" t="n">
        <x:v>2025</x:v>
      </x:c>
      <x:c r="L150" s="6" t="n">
        <x:f>G150-H150</x:f>
        <x:v>0</x:v>
      </x:c>
      <x:c r="M150" s="6" t="n">
        <x:f>IF(B150="Hauptliste",G150-IF(AND(ISNUMBER(K150),K150&lt;=2024),H150,0),0)</x:f>
        <x:v>1018</x:v>
      </x:c>
      <x:c r="N150" t="str"/>
    </x:row>
    <x:row r="151">
      <x:c r="A151" t="n">
        <x:v>198</x:v>
      </x:c>
      <x:c r="B151" t="str">
        <x:v>Hauptliste</x:v>
      </x:c>
      <x:c r="C151" t="n">
        <x:v>10224</x:v>
      </x:c>
      <x:c r="D151" t="n">
        <x:v>10224</x:v>
      </x:c>
      <x:c r="E151" t="str">
        <x:v>Mandy Alex</x:v>
      </x:c>
      <x:c r="F151" t="str">
        <x:v>2024-366</x:v>
      </x:c>
      <x:c r="G151" s="6" t="n">
        <x:v>649</x:v>
      </x:c>
      <x:c r="H151" s="6" t="n">
        <x:v>649</x:v>
      </x:c>
      <x:c r="I151" t="str">
        <x:v>2025-01-06</x:v>
      </x:c>
      <x:c r="J151" s="8" t="n">
        <x:v>45663.5</x:v>
      </x:c>
      <x:c r="K151" t="n">
        <x:v>2025</x:v>
      </x:c>
      <x:c r="L151" s="6" t="n">
        <x:f>G151-H151</x:f>
        <x:v>0</x:v>
      </x:c>
      <x:c r="M151" s="6" t="n">
        <x:f>IF(B151="Hauptliste",G151-IF(AND(ISNUMBER(K151),K151&lt;=2024),H151,0),0)</x:f>
        <x:v>649</x:v>
      </x:c>
      <x:c r="N151" t="str"/>
    </x:row>
    <x:row r="152">
      <x:c r="A152" t="n">
        <x:v>201</x:v>
      </x:c>
      <x:c r="B152" t="str">
        <x:v>Nachtrag</x:v>
      </x:c>
      <x:c r="C152"/>
      <x:c r="D152"/>
      <x:c r="E152" t="str">
        <x:v>Bauer</x:v>
      </x:c>
      <x:c r="F152" t="str">
        <x:v>2024-356</x:v>
      </x:c>
      <x:c r="G152" s="6" t="n">
        <x:v>0</x:v>
      </x:c>
      <x:c r="H152" s="6" t="n">
        <x:v>2592</x:v>
      </x:c>
      <x:c r="I152" t="str">
        <x:v>2025-01-31</x:v>
      </x:c>
      <x:c r="J152" s="8" t="n">
        <x:v>45688.5</x:v>
      </x:c>
      <x:c r="K152" t="n">
        <x:v>2025</x:v>
      </x:c>
      <x:c r="L152" s="6" t="n">
        <x:f>G152-H152</x:f>
        <x:v>-2592</x:v>
      </x:c>
      <x:c r="M152" s="6" t="n">
        <x:f>IF(B152="Hauptliste",G152-IF(AND(ISNUMBER(K152),K152&lt;=2024),H152,0),0)</x:f>
        <x:v>0</x:v>
      </x:c>
      <x:c r="N152" t="str"/>
    </x:row>
    <x:row r="153">
      <x:c r="A153" t="n">
        <x:v>202</x:v>
      </x:c>
      <x:c r="B153" t="str">
        <x:v>Nachtrag</x:v>
      </x:c>
      <x:c r="C153"/>
      <x:c r="D153"/>
      <x:c r="E153" t="str">
        <x:v>Emily Beker</x:v>
      </x:c>
      <x:c r="F153" t="str">
        <x:v>2024-323</x:v>
      </x:c>
      <x:c r="G153" s="6" t="n">
        <x:v>0</x:v>
      </x:c>
      <x:c r="H153" s="6" t="n">
        <x:v>2110</x:v>
      </x:c>
      <x:c r="I153" t="str">
        <x:v>2025-01-31</x:v>
      </x:c>
      <x:c r="J153" s="8" t="n">
        <x:v>45688.5</x:v>
      </x:c>
      <x:c r="K153" t="n">
        <x:v>2025</x:v>
      </x:c>
      <x:c r="L153" s="6" t="n">
        <x:f>G153-H153</x:f>
        <x:v>-2110</x:v>
      </x:c>
      <x:c r="M153" s="6" t="n">
        <x:f>IF(B153="Hauptliste",G153-IF(AND(ISNUMBER(K153),K153&lt;=2024),H153,0),0)</x:f>
        <x:v>0</x:v>
      </x:c>
      <x:c r="N153" t="str"/>
    </x:row>
    <x:row r="154">
      <x:c r="A154" t="n">
        <x:v>203</x:v>
      </x:c>
      <x:c r="B154" t="str">
        <x:v>Nachtrag</x:v>
      </x:c>
      <x:c r="C154"/>
      <x:c r="D154"/>
      <x:c r="E154" t="str">
        <x:v>Amelie Magdalena Grawe</x:v>
      </x:c>
      <x:c r="F154" t="str">
        <x:v>2024-311</x:v>
      </x:c>
      <x:c r="G154" s="6" t="n">
        <x:v>0</x:v>
      </x:c>
      <x:c r="H154" s="6" t="n">
        <x:v>504</x:v>
      </x:c>
      <x:c r="I154" t="str">
        <x:v>2025-05-30</x:v>
      </x:c>
      <x:c r="J154" s="8" t="n">
        <x:v>45807.5</x:v>
      </x:c>
      <x:c r="K154" t="n">
        <x:v>2025</x:v>
      </x:c>
      <x:c r="L154" s="6" t="n">
        <x:f>G154-H154</x:f>
        <x:v>-504</x:v>
      </x:c>
      <x:c r="M154" s="6" t="n">
        <x:f>IF(B154="Hauptliste",G154-IF(AND(ISNUMBER(K154),K154&lt;=2024),H154,0),0)</x:f>
        <x:v>0</x:v>
      </x:c>
      <x:c r="N154" t="str"/>
    </x:row>
    <x:row r="155">
      <x:c r="A155" t="n">
        <x:v>204</x:v>
      </x:c>
      <x:c r="B155" t="str">
        <x:v>Nachtrag</x:v>
      </x:c>
      <x:c r="C155"/>
      <x:c r="D155"/>
      <x:c r="E155" t="str">
        <x:v>Neomi Holenstein</x:v>
      </x:c>
      <x:c r="F155" t="str">
        <x:v>2024-335</x:v>
      </x:c>
      <x:c r="G155" s="6" t="n">
        <x:v>0</x:v>
      </x:c>
      <x:c r="H155" s="6" t="n">
        <x:v>2169</x:v>
      </x:c>
      <x:c r="I155" t="str">
        <x:v>2025-03-31</x:v>
      </x:c>
      <x:c r="J155" s="8" t="n">
        <x:v>45747.5</x:v>
      </x:c>
      <x:c r="K155" t="n">
        <x:v>2025</x:v>
      </x:c>
      <x:c r="L155" s="6" t="n">
        <x:f>G155-H155</x:f>
        <x:v>-2169</x:v>
      </x:c>
      <x:c r="M155" s="6" t="n">
        <x:f>IF(B155="Hauptliste",G155-IF(AND(ISNUMBER(K155),K155&lt;=2024),H155,0),0)</x:f>
        <x:v>0</x:v>
      </x:c>
      <x:c r="N155" t="str"/>
    </x:row>
    <x:row r="156">
      <x:c r="A156" t="n">
        <x:v>205</x:v>
      </x:c>
      <x:c r="B156" t="str">
        <x:v>Nachtrag</x:v>
      </x:c>
      <x:c r="C156"/>
      <x:c r="D156"/>
      <x:c r="E156" t="str"/>
      <x:c r="F156" t="str"/>
      <x:c r="G156" s="6" t="n">
        <x:v>0</x:v>
      </x:c>
      <x:c r="H156" s="6" t="n">
        <x:v>6507</x:v>
      </x:c>
      <x:c r="I156" t="str">
        <x:v>2025-06-20</x:v>
      </x:c>
      <x:c r="J156" s="8" t="n">
        <x:v>45828.5</x:v>
      </x:c>
      <x:c r="K156" t="n">
        <x:v>2025</x:v>
      </x:c>
      <x:c r="L156" s="6" t="n">
        <x:f>G156-H156</x:f>
        <x:v>-6507</x:v>
      </x:c>
      <x:c r="M156" s="6" t="n">
        <x:f>IF(B156="Hauptliste",G156-IF(AND(ISNUMBER(K156),K156&lt;=2024),H156,0),0)</x:f>
        <x:v>0</x:v>
      </x:c>
      <x:c r="N156" t="str"/>
    </x:row>
    <x:row r="157">
      <x:c r="A157" t="n">
        <x:v>206</x:v>
      </x:c>
      <x:c r="B157" t="str">
        <x:v>Nachtrag</x:v>
      </x:c>
      <x:c r="C157"/>
      <x:c r="D157"/>
      <x:c r="E157" t="str">
        <x:v>Jankowiak Mila</x:v>
      </x:c>
      <x:c r="F157" t="str">
        <x:v>2024-307</x:v>
      </x:c>
      <x:c r="G157" s="6" t="n">
        <x:v>0</x:v>
      </x:c>
      <x:c r="H157" s="6" t="n">
        <x:v>5000</x:v>
      </x:c>
      <x:c r="I157" t="str">
        <x:v>2025-07-01</x:v>
      </x:c>
      <x:c r="J157" s="8" t="n">
        <x:v>45839.5</x:v>
      </x:c>
      <x:c r="K157" t="n">
        <x:v>2025</x:v>
      </x:c>
      <x:c r="L157" s="6" t="n">
        <x:f>G157-H157</x:f>
        <x:v>-5000</x:v>
      </x:c>
      <x:c r="M157" s="6" t="n">
        <x:f>IF(B157="Hauptliste",G157-IF(AND(ISNUMBER(K157),K157&lt;=2024),H157,0),0)</x:f>
        <x:v>0</x:v>
      </x:c>
      <x:c r="N157" t="str"/>
    </x:row>
    <x:row r="158">
      <x:c r="A158" t="n">
        <x:v>207</x:v>
      </x:c>
      <x:c r="B158" t="str">
        <x:v>Nachtrag</x:v>
      </x:c>
      <x:c r="C158"/>
      <x:c r="D158"/>
      <x:c r="E158" t="str"/>
      <x:c r="F158" t="str"/>
      <x:c r="G158" s="6" t="n">
        <x:v>0</x:v>
      </x:c>
      <x:c r="H158" s="6" t="n">
        <x:v>2200</x:v>
      </x:c>
      <x:c r="I158" t="str">
        <x:v>2025-07-01</x:v>
      </x:c>
      <x:c r="J158" s="8" t="n">
        <x:v>45839.5</x:v>
      </x:c>
      <x:c r="K158" t="n">
        <x:v>2025</x:v>
      </x:c>
      <x:c r="L158" s="6" t="n">
        <x:f>G158-H158</x:f>
        <x:v>-2200</x:v>
      </x:c>
      <x:c r="M158" s="6" t="n">
        <x:f>IF(B158="Hauptliste",G158-IF(AND(ISNUMBER(K158),K158&lt;=2024),H158,0),0)</x:f>
        <x:v>0</x:v>
      </x:c>
      <x:c r="N158" t="str"/>
    </x:row>
    <x:row r="159">
      <x:c r="A159" t="n">
        <x:v>208</x:v>
      </x:c>
      <x:c r="B159" t="str">
        <x:v>Nachtrag</x:v>
      </x:c>
      <x:c r="C159"/>
      <x:c r="D159"/>
      <x:c r="E159" t="str"/>
      <x:c r="F159" t="str"/>
      <x:c r="G159" s="6" t="n">
        <x:v>0</x:v>
      </x:c>
      <x:c r="H159" s="6" t="n">
        <x:v>1700</x:v>
      </x:c>
      <x:c r="I159" t="str">
        <x:v>2025-07-01</x:v>
      </x:c>
      <x:c r="J159" s="8" t="n">
        <x:v>45839.5</x:v>
      </x:c>
      <x:c r="K159" t="n">
        <x:v>2025</x:v>
      </x:c>
      <x:c r="L159" s="6" t="n">
        <x:f>G159-H159</x:f>
        <x:v>-1700</x:v>
      </x:c>
      <x:c r="M159" s="6" t="n">
        <x:f>IF(B159="Hauptliste",G159-IF(AND(ISNUMBER(K159),K159&lt;=2024),H159,0),0)</x:f>
        <x:v>0</x:v>
      </x:c>
      <x:c r="N159" t="str"/>
    </x:row>
    <x:row r="160">
      <x:c r="A160" t="n">
        <x:v>209</x:v>
      </x:c>
      <x:c r="B160" t="str">
        <x:v>Nachtrag</x:v>
      </x:c>
      <x:c r="C160"/>
      <x:c r="D160"/>
      <x:c r="E160" t="str">
        <x:v>Jung</x:v>
      </x:c>
      <x:c r="F160" t="str">
        <x:v>2024-344</x:v>
      </x:c>
      <x:c r="G160" s="6" t="n">
        <x:v>0</x:v>
      </x:c>
      <x:c r="H160" s="6" t="n">
        <x:v>5079.2</x:v>
      </x:c>
      <x:c r="I160" t="str">
        <x:v>2025-09-12</x:v>
      </x:c>
      <x:c r="J160" s="8" t="n">
        <x:v>45912.5</x:v>
      </x:c>
      <x:c r="K160" t="n">
        <x:v>2025</x:v>
      </x:c>
      <x:c r="L160" s="6" t="n">
        <x:f>G160-H160</x:f>
        <x:v>-5079.2</x:v>
      </x:c>
      <x:c r="M160" s="6" t="n">
        <x:f>IF(B160="Hauptliste",G160-IF(AND(ISNUMBER(K160),K160&lt;=2024),H160,0),0)</x:f>
        <x:v>0</x:v>
      </x:c>
      <x:c r="N160" t="str"/>
    </x:row>
    <x:row r="161">
      <x:c r="A161" t="n">
        <x:v>210</x:v>
      </x:c>
      <x:c r="B161" t="str">
        <x:v>Nachtrag</x:v>
      </x:c>
      <x:c r="C161"/>
      <x:c r="D161"/>
      <x:c r="E161" t="str">
        <x:v>Liebmann</x:v>
      </x:c>
      <x:c r="F161" t="str">
        <x:v>2024-360</x:v>
      </x:c>
      <x:c r="G161" s="6" t="n">
        <x:v>0</x:v>
      </x:c>
      <x:c r="H161" s="6" t="n">
        <x:v>1620</x:v>
      </x:c>
      <x:c r="I161" t="str">
        <x:v>2025-01-13</x:v>
      </x:c>
      <x:c r="J161" s="8" t="n">
        <x:v>45670.5</x:v>
      </x:c>
      <x:c r="K161" t="n">
        <x:v>2025</x:v>
      </x:c>
      <x:c r="L161" s="6" t="n">
        <x:f>G161-H161</x:f>
        <x:v>-1620</x:v>
      </x:c>
      <x:c r="M161" s="6" t="n">
        <x:f>IF(B161="Hauptliste",G161-IF(AND(ISNUMBER(K161),K161&lt;=2024),H161,0),0)</x:f>
        <x:v>0</x:v>
      </x:c>
      <x:c r="N161" t="str"/>
    </x:row>
    <x:row r="162">
      <x:c r="A162" t="n">
        <x:v>211</x:v>
      </x:c>
      <x:c r="B162" t="str">
        <x:v>Nachtrag</x:v>
      </x:c>
      <x:c r="C162"/>
      <x:c r="D162"/>
      <x:c r="E162" t="str"/>
      <x:c r="F162" t="str"/>
      <x:c r="G162" s="6" t="n">
        <x:v>0</x:v>
      </x:c>
      <x:c r="H162" s="6" t="n">
        <x:v>4860</x:v>
      </x:c>
      <x:c r="I162" t="str">
        <x:v>2025-06-30</x:v>
      </x:c>
      <x:c r="J162" s="8" t="n">
        <x:v>45838.5</x:v>
      </x:c>
      <x:c r="K162" t="n">
        <x:v>2025</x:v>
      </x:c>
      <x:c r="L162" s="6" t="n">
        <x:f>G162-H162</x:f>
        <x:v>-4860</x:v>
      </x:c>
      <x:c r="M162" s="6" t="n">
        <x:f>IF(B162="Hauptliste",G162-IF(AND(ISNUMBER(K162),K162&lt;=2024),H162,0),0)</x:f>
        <x:v>0</x:v>
      </x:c>
      <x:c r="N162" t="str"/>
    </x:row>
    <x:row r="163">
      <x:c r="A163" t="n">
        <x:v>212</x:v>
      </x:c>
      <x:c r="B163" t="str">
        <x:v>Nachtrag</x:v>
      </x:c>
      <x:c r="C163"/>
      <x:c r="D163"/>
      <x:c r="E163" t="str">
        <x:v>Sonja Leiner 2024-306</x:v>
      </x:c>
      <x:c r="F163" t="str">
        <x:v>2024-306</x:v>
      </x:c>
      <x:c r="G163" s="6" t="n">
        <x:v>0</x:v>
      </x:c>
      <x:c r="H163" s="6" t="n">
        <x:v>976</x:v>
      </x:c>
      <x:c r="I163" t="str">
        <x:v>2025-03-13</x:v>
      </x:c>
      <x:c r="J163" s="8" t="n">
        <x:v>45729.5</x:v>
      </x:c>
      <x:c r="K163" t="n">
        <x:v>2025</x:v>
      </x:c>
      <x:c r="L163" s="6" t="n">
        <x:f>G163-H163</x:f>
        <x:v>-976</x:v>
      </x:c>
      <x:c r="M163" s="6" t="n">
        <x:f>IF(B163="Hauptliste",G163-IF(AND(ISNUMBER(K163),K163&lt;=2024),H163,0),0)</x:f>
        <x:v>0</x:v>
      </x:c>
      <x:c r="N163" t="str"/>
    </x:row>
    <x:row r="164">
      <x:c r="A164" t="n">
        <x:v>213</x:v>
      </x:c>
      <x:c r="B164" t="str">
        <x:v>Nachtrag</x:v>
      </x:c>
      <x:c r="C164"/>
      <x:c r="D164"/>
      <x:c r="E164" t="str">
        <x:v>Harriet Lumley</x:v>
      </x:c>
      <x:c r="F164" t="str">
        <x:v>2024-213</x:v>
      </x:c>
      <x:c r="G164" s="6" t="n">
        <x:v>0</x:v>
      </x:c>
      <x:c r="H164" s="6" t="n">
        <x:v>2905.6</x:v>
      </x:c>
      <x:c r="I164" t="str">
        <x:v>2025-03-26</x:v>
      </x:c>
      <x:c r="J164" s="8" t="n">
        <x:v>45742.5</x:v>
      </x:c>
      <x:c r="K164" t="n">
        <x:v>2025</x:v>
      </x:c>
      <x:c r="L164" s="6" t="n">
        <x:f>G164-H164</x:f>
        <x:v>-2905.6</x:v>
      </x:c>
      <x:c r="M164" s="6" t="n">
        <x:f>IF(B164="Hauptliste",G164-IF(AND(ISNUMBER(K164),K164&lt;=2024),H164,0),0)</x:f>
        <x:v>0</x:v>
      </x:c>
      <x:c r="N164" t="str"/>
    </x:row>
    <x:row r="165">
      <x:c r="A165" t="n">
        <x:v>214</x:v>
      </x:c>
      <x:c r="B165" t="str">
        <x:v>Nachtrag</x:v>
      </x:c>
      <x:c r="C165"/>
      <x:c r="D165"/>
      <x:c r="E165" t="str">
        <x:v>Mertens Nicole </x:v>
      </x:c>
      <x:c r="F165" t="str">
        <x:v>2024-353</x:v>
      </x:c>
      <x:c r="G165" s="6" t="n">
        <x:v>0</x:v>
      </x:c>
      <x:c r="H165" s="6" t="n">
        <x:v>435.2</x:v>
      </x:c>
      <x:c r="I165" t="str">
        <x:v>2025-03-07</x:v>
      </x:c>
      <x:c r="J165" s="8" t="n">
        <x:v>45723.5</x:v>
      </x:c>
      <x:c r="K165" t="n">
        <x:v>2025</x:v>
      </x:c>
      <x:c r="L165" s="6" t="n">
        <x:f>G165-H165</x:f>
        <x:v>-435.2</x:v>
      </x:c>
      <x:c r="M165" s="6" t="n">
        <x:f>IF(B165="Hauptliste",G165-IF(AND(ISNUMBER(K165),K165&lt;=2024),H165,0),0)</x:f>
        <x:v>0</x:v>
      </x:c>
      <x:c r="N165" t="str"/>
    </x:row>
    <x:row r="166">
      <x:c r="A166" t="n">
        <x:v>215</x:v>
      </x:c>
      <x:c r="B166" t="str">
        <x:v>Nachtrag</x:v>
      </x:c>
      <x:c r="C166"/>
      <x:c r="D166"/>
      <x:c r="E166" t="str">
        <x:v>Marxkos </x:v>
      </x:c>
      <x:c r="F166" t="str">
        <x:v>2024-048</x:v>
      </x:c>
      <x:c r="G166" s="6" t="n">
        <x:v>0</x:v>
      </x:c>
      <x:c r="H166" s="6" t="n">
        <x:v>1160</x:v>
      </x:c>
      <x:c r="I166" t="str">
        <x:v>2025-05-30</x:v>
      </x:c>
      <x:c r="J166" s="8" t="n">
        <x:v>45807.5</x:v>
      </x:c>
      <x:c r="K166" t="n">
        <x:v>2025</x:v>
      </x:c>
      <x:c r="L166" s="6" t="n">
        <x:f>G166-H166</x:f>
        <x:v>-1160</x:v>
      </x:c>
      <x:c r="M166" s="6" t="n">
        <x:f>IF(B166="Hauptliste",G166-IF(AND(ISNUMBER(K166),K166&lt;=2024),H166,0),0)</x:f>
        <x:v>0</x:v>
      </x:c>
      <x:c r="N166" t="str"/>
    </x:row>
    <x:row r="167">
      <x:c r="A167" t="n">
        <x:v>216</x:v>
      </x:c>
      <x:c r="B167" t="str">
        <x:v>Nachtrag</x:v>
      </x:c>
      <x:c r="C167"/>
      <x:c r="D167"/>
      <x:c r="E167" t="str">
        <x:v>Matzke Philipp</x:v>
      </x:c>
      <x:c r="F167" t="str">
        <x:v>2024-334</x:v>
      </x:c>
      <x:c r="G167" s="6" t="n">
        <x:v>0</x:v>
      </x:c>
      <x:c r="H167" s="6" t="n">
        <x:v>6608</x:v>
      </x:c>
      <x:c r="I167" t="str">
        <x:v>2025-06-13</x:v>
      </x:c>
      <x:c r="J167" s="8" t="n">
        <x:v>45821.5</x:v>
      </x:c>
      <x:c r="K167" t="n">
        <x:v>2025</x:v>
      </x:c>
      <x:c r="L167" s="6" t="n">
        <x:f>G167-H167</x:f>
        <x:v>-6608</x:v>
      </x:c>
      <x:c r="M167" s="6" t="n">
        <x:f>IF(B167="Hauptliste",G167-IF(AND(ISNUMBER(K167),K167&lt;=2024),H167,0),0)</x:f>
        <x:v>0</x:v>
      </x:c>
      <x:c r="N167" t="str"/>
    </x:row>
    <x:row r="168">
      <x:c r="A168" t="n">
        <x:v>217</x:v>
      </x:c>
      <x:c r="B168" t="str">
        <x:v>Nachtrag</x:v>
      </x:c>
      <x:c r="C168"/>
      <x:c r="D168"/>
      <x:c r="E168" t="str">
        <x:v>Noll </x:v>
      </x:c>
      <x:c r="F168" t="str">
        <x:v>2024-361</x:v>
      </x:c>
      <x:c r="G168" s="6" t="n">
        <x:v>0</x:v>
      </x:c>
      <x:c r="H168" s="6" t="n">
        <x:v>770</x:v>
      </x:c>
      <x:c r="I168" t="str">
        <x:v>2025-01-02</x:v>
      </x:c>
      <x:c r="J168" s="8" t="n">
        <x:v>45659.5</x:v>
      </x:c>
      <x:c r="K168" t="n">
        <x:v>2025</x:v>
      </x:c>
      <x:c r="L168" s="6" t="n">
        <x:f>G168-H168</x:f>
        <x:v>-770</x:v>
      </x:c>
      <x:c r="M168" s="6" t="n">
        <x:f>IF(B168="Hauptliste",G168-IF(AND(ISNUMBER(K168),K168&lt;=2024),H168,0),0)</x:f>
        <x:v>0</x:v>
      </x:c>
      <x:c r="N168" t="str"/>
    </x:row>
    <x:row r="169">
      <x:c r="A169" t="n">
        <x:v>218</x:v>
      </x:c>
      <x:c r="B169" t="str">
        <x:v>Nachtrag</x:v>
      </x:c>
      <x:c r="C169"/>
      <x:c r="D169"/>
      <x:c r="E169" t="str"/>
      <x:c r="F169" t="str"/>
      <x:c r="G169" s="6" t="n">
        <x:v>0</x:v>
      </x:c>
      <x:c r="H169" s="6" t="n">
        <x:v>3080</x:v>
      </x:c>
      <x:c r="I169" t="str">
        <x:v>2025-06-24</x:v>
      </x:c>
      <x:c r="J169" s="8" t="n">
        <x:v>45832.5</x:v>
      </x:c>
      <x:c r="K169" t="n">
        <x:v>2025</x:v>
      </x:c>
      <x:c r="L169" s="6" t="n">
        <x:f>G169-H169</x:f>
        <x:v>-3080</x:v>
      </x:c>
      <x:c r="M169" s="6" t="n">
        <x:f>IF(B169="Hauptliste",G169-IF(AND(ISNUMBER(K169),K169&lt;=2024),H169,0),0)</x:f>
        <x:v>0</x:v>
      </x:c>
      <x:c r="N169" t="str"/>
    </x:row>
    <x:row r="170">
      <x:c r="A170" t="n">
        <x:v>219</x:v>
      </x:c>
      <x:c r="B170" t="str">
        <x:v>Nachtrag</x:v>
      </x:c>
      <x:c r="C170"/>
      <x:c r="D170"/>
      <x:c r="E170" t="str">
        <x:v>Sophie Schindler</x:v>
      </x:c>
      <x:c r="F170" t="str">
        <x:v>2024-281</x:v>
      </x:c>
      <x:c r="G170" s="6" t="n">
        <x:v>0</x:v>
      </x:c>
      <x:c r="H170" s="6" t="n">
        <x:v>2031.2</x:v>
      </x:c>
      <x:c r="I170" t="str">
        <x:v>2025-05-22</x:v>
      </x:c>
      <x:c r="J170" s="8" t="n">
        <x:v>45799.5</x:v>
      </x:c>
      <x:c r="K170" t="n">
        <x:v>2025</x:v>
      </x:c>
      <x:c r="L170" s="6" t="n">
        <x:f>G170-H170</x:f>
        <x:v>-2031.2</x:v>
      </x:c>
      <x:c r="M170" s="6" t="n">
        <x:f>IF(B170="Hauptliste",G170-IF(AND(ISNUMBER(K170),K170&lt;=2024),H170,0),0)</x:f>
        <x:v>0</x:v>
      </x:c>
      <x:c r="N170" t="str"/>
    </x:row>
    <x:row r="171">
      <x:c r="A171" t="n">
        <x:v>220</x:v>
      </x:c>
      <x:c r="B171" t="str">
        <x:v>Nachtrag</x:v>
      </x:c>
      <x:c r="C171"/>
      <x:c r="D171"/>
      <x:c r="E171" t="str">
        <x:v>Julian Schupp </x:v>
      </x:c>
      <x:c r="F171" t="str">
        <x:v>2024-348</x:v>
      </x:c>
      <x:c r="G171" s="6" t="n">
        <x:v>0</x:v>
      </x:c>
      <x:c r="H171" s="6" t="n">
        <x:v>2776</x:v>
      </x:c>
      <x:c r="I171" t="str">
        <x:v>2025-05-30</x:v>
      </x:c>
      <x:c r="J171" s="8" t="n">
        <x:v>45807.5</x:v>
      </x:c>
      <x:c r="K171" t="n">
        <x:v>2025</x:v>
      </x:c>
      <x:c r="L171" s="6" t="n">
        <x:f>G171-H171</x:f>
        <x:v>-2776</x:v>
      </x:c>
      <x:c r="M171" s="6" t="n">
        <x:f>IF(B171="Hauptliste",G171-IF(AND(ISNUMBER(K171),K171&lt;=2024),H171,0),0)</x:f>
        <x:v>0</x:v>
      </x:c>
      <x:c r="N171" t="str"/>
    </x:row>
    <x:row r="172">
      <x:c r="A172" t="n">
        <x:v>221</x:v>
      </x:c>
      <x:c r="B172" t="str">
        <x:v>Nachtrag</x:v>
      </x:c>
      <x:c r="C172"/>
      <x:c r="D172"/>
      <x:c r="E172" t="str">
        <x:v>Schuster</x:v>
      </x:c>
      <x:c r="F172" t="str">
        <x:v>2024-041</x:v>
      </x:c>
      <x:c r="G172" s="6" t="n">
        <x:v>0</x:v>
      </x:c>
      <x:c r="H172" s="6" t="n">
        <x:v>1088</x:v>
      </x:c>
      <x:c r="I172" t="str">
        <x:v>2025-07-01</x:v>
      </x:c>
      <x:c r="J172" s="8" t="n">
        <x:v>45839.5</x:v>
      </x:c>
      <x:c r="K172" t="n">
        <x:v>2025</x:v>
      </x:c>
      <x:c r="L172" s="6" t="n">
        <x:f>G172-H172</x:f>
        <x:v>-1088</x:v>
      </x:c>
      <x:c r="M172" s="6" t="n">
        <x:f>IF(B172="Hauptliste",G172-IF(AND(ISNUMBER(K172),K172&lt;=2024),H172,0),0)</x:f>
        <x:v>0</x:v>
      </x:c>
      <x:c r="N172" t="str"/>
    </x:row>
    <x:row r="173">
      <x:c r="A173" t="n">
        <x:v>222</x:v>
      </x:c>
      <x:c r="B173" t="str">
        <x:v>Nachtrag</x:v>
      </x:c>
      <x:c r="C173" t="n">
        <x:v>10170</x:v>
      </x:c>
      <x:c r="D173" t="n">
        <x:v>10170</x:v>
      </x:c>
      <x:c r="E173" t="str">
        <x:v>Emma van Bever</x:v>
      </x:c>
      <x:c r="F173" t="str">
        <x:v>2024-293</x:v>
      </x:c>
      <x:c r="G173" s="6" t="n">
        <x:v>0</x:v>
      </x:c>
      <x:c r="H173" s="6" t="n">
        <x:v>255</x:v>
      </x:c>
      <x:c r="I173" t="str">
        <x:v>2025-01-27</x:v>
      </x:c>
      <x:c r="J173" s="8" t="n">
        <x:v>45684.5</x:v>
      </x:c>
      <x:c r="K173" t="n">
        <x:v>2025</x:v>
      </x:c>
      <x:c r="L173" s="6" t="n">
        <x:f>G173-H173</x:f>
        <x:v>-255</x:v>
      </x:c>
      <x:c r="M173" s="6" t="n">
        <x:f>IF(B173="Hauptliste",G173-IF(AND(ISNUMBER(K173),K173&lt;=2024),H173,0),0)</x:f>
        <x:v>0</x:v>
      </x:c>
      <x:c r="N173" t="str"/>
    </x:row>
    <x:row r="174">
      <x:c r="A174" t="n">
        <x:v>223</x:v>
      </x:c>
      <x:c r="B174" t="str">
        <x:v>Nachtrag</x:v>
      </x:c>
      <x:c r="C174" t="n">
        <x:v>10159</x:v>
      </x:c>
      <x:c r="D174" t="n">
        <x:v>10159</x:v>
      </x:c>
      <x:c r="E174" t="str">
        <x:v>Emilio Leon Reyes</x:v>
      </x:c>
      <x:c r="F174" t="str">
        <x:v>2024-279</x:v>
      </x:c>
      <x:c r="G174" s="6" t="n">
        <x:v>0</x:v>
      </x:c>
      <x:c r="H174" s="6" t="n">
        <x:v>2760</x:v>
      </x:c>
      <x:c r="I174" t="str">
        <x:v>2025-02-12</x:v>
      </x:c>
      <x:c r="J174" s="8" t="n">
        <x:v>45700.5</x:v>
      </x:c>
      <x:c r="K174" t="n">
        <x:v>2025</x:v>
      </x:c>
      <x:c r="L174" s="6" t="n">
        <x:f>G174-H174</x:f>
        <x:v>-2760</x:v>
      </x:c>
      <x:c r="M174" s="6" t="n">
        <x:f>IF(B174="Hauptliste",G174-IF(AND(ISNUMBER(K174),K174&lt;=2024),H174,0),0)</x:f>
        <x:v>0</x:v>
      </x:c>
      <x:c r="N174" t="str"/>
    </x:row>
    <x:row r="175">
      <x:c r="A175" t="n">
        <x:v>224</x:v>
      </x:c>
      <x:c r="B175" t="str">
        <x:v>Nachtrag</x:v>
      </x:c>
      <x:c r="C175"/>
      <x:c r="D175"/>
      <x:c r="E175" t="str">
        <x:v>Ramona Wothe </x:v>
      </x:c>
      <x:c r="F175" t="str">
        <x:v>2024-279</x:v>
      </x:c>
      <x:c r="G175" s="6" t="n">
        <x:v>0</x:v>
      </x:c>
      <x:c r="H175" s="6" t="n">
        <x:v>8280</x:v>
      </x:c>
      <x:c r="I175" t="str">
        <x:v>2025-06-02</x:v>
      </x:c>
      <x:c r="J175" s="8" t="n">
        <x:v>45810.5</x:v>
      </x:c>
      <x:c r="K175" t="n">
        <x:v>2025</x:v>
      </x:c>
      <x:c r="L175" s="6" t="n">
        <x:f>G175-H175</x:f>
        <x:v>-8280</x:v>
      </x:c>
      <x:c r="M175" s="6" t="n">
        <x:f>IF(B175="Hauptliste",G175-IF(AND(ISNUMBER(K175),K175&lt;=2024),H175,0),0)</x:f>
        <x:v>0</x:v>
      </x:c>
      <x:c r="N175" t="str">
        <x:v>Rechnung 2024-279 auch in Zeile 223, dort anderer Name.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9" hidden="0" customWidth="1"/>
    <x:col min="5" max="5" width="19" hidden="0" customWidth="1"/>
    <x:col min="6" max="6" width="51" hidden="0" customWidth="1"/>
    <x:col min="7" max="7" width="17" hidden="0" customWidth="1"/>
    <x:col min="8" max="8" width="17" hidden="0" customWidth="1"/>
    <x:col min="9" max="9" width="17" hidden="0" customWidth="1"/>
    <x:col min="10" max="10" width="44" hidden="0" customWidth="1"/>
  </x:cols>
  <x:sheetData>
    <x:row r="1">
      <x:c r="A1" s="2" t="str">
        <x:v>Quelle: Klardaten DATEV, Mandant 12521, datev://accounting/condensed_accounts_receivable, Geschäftsjahr 2024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 t="str">
        <x:v>Nur is_cleared=false; Saldo je Buchungszeile = Soll − Haben. Wiederholtes open_balance_of_item nicht summiert.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0" customHeight="1">
      <x:c r="A4" s="4" t="str">
        <x:v>Quellindex</x:v>
      </x:c>
      <x:c r="B4" s="4" t="str">
        <x:v>Debitor</x:v>
      </x:c>
      <x:c r="C4" s="4" t="str">
        <x:v>Buchungsdatum</x:v>
      </x:c>
      <x:c r="D4" s="4" t="str">
        <x:v>Belegfeld 1</x:v>
      </x:c>
      <x:c r="E4" s="4" t="str">
        <x:v>OP-Nummer</x:v>
      </x:c>
      <x:c r="F4" s="4" t="str">
        <x:v>Buchungstext</x:v>
      </x:c>
      <x:c r="G4" s="4" t="str">
        <x:v>Soll</x:v>
      </x:c>
      <x:c r="H4" s="4" t="str">
        <x:v>Haben</x:v>
      </x:c>
      <x:c r="I4" s="4" t="str">
        <x:v>Offen netto</x:v>
      </x:c>
      <x:c r="J4" s="4" t="str">
        <x:v>DATEV-ID</x:v>
      </x:c>
      <x:c r="K4" s="2"/>
      <x:c r="L4" s="2"/>
      <x:c r="M4" s="2"/>
      <x:c r="N4" s="2"/>
    </x:row>
    <x:row r="5">
      <x:c r="A5" s="2" t="n">
        <x:v>5</x:v>
      </x:c>
      <x:c r="B5" s="2" t="n">
        <x:v>10000</x:v>
      </x:c>
      <x:c r="C5" s="7" t="n">
        <x:v>44986.5</x:v>
      </x:c>
      <x:c r="D5" s="2" t="str">
        <x:v>165</x:v>
      </x:c>
      <x:c r="E5" s="2" t="str">
        <x:v>165</x:v>
      </x:c>
      <x:c r="F5" s="2" t="str">
        <x:v>Ahlemeyer, Costa Rica</x:v>
      </x:c>
      <x:c r="G5" s="5" t="n">
        <x:v>625</x:v>
      </x:c>
      <x:c r="H5" s="5" t="n">
        <x:v>0</x:v>
      </x:c>
      <x:c r="I5" s="5" t="n">
        <x:f>G5-H5</x:f>
        <x:v>625</x:v>
      </x:c>
      <x:c r="J5" s="2" t="str">
        <x:v>20230101_2631</x:v>
      </x:c>
      <x:c r="K5" s="2"/>
      <x:c r="L5" s="2"/>
      <x:c r="M5" s="2"/>
      <x:c r="N5" s="2"/>
    </x:row>
    <x:row r="6">
      <x:c r="A6" s="2" t="n">
        <x:v>6</x:v>
      </x:c>
      <x:c r="B6" s="2" t="n">
        <x:v>10000</x:v>
      </x:c>
      <x:c r="C6" s="7" t="n">
        <x:v>44927.5</x:v>
      </x:c>
      <x:c r="D6" s="2" t="str">
        <x:v>239</x:v>
      </x:c>
      <x:c r="E6" s="2" t="str">
        <x:v>239</x:v>
      </x:c>
      <x:c r="F6" s="2" t="str">
        <x:v>Vortragsaktualisierung</x:v>
      </x:c>
      <x:c r="G6" s="5" t="n">
        <x:v>2500</x:v>
      </x:c>
      <x:c r="H6" s="5" t="n">
        <x:v>0</x:v>
      </x:c>
      <x:c r="I6" s="5" t="n">
        <x:f>G6-H6</x:f>
        <x:v>2500</x:v>
      </x:c>
      <x:c r="J6" s="2" t="str">
        <x:v>20230101_2417</x:v>
      </x:c>
      <x:c r="K6" s="2"/>
      <x:c r="L6" s="2"/>
      <x:c r="M6" s="2"/>
      <x:c r="N6" s="2"/>
    </x:row>
    <x:row r="7">
      <x:c r="A7" s="2" t="n">
        <x:v>7</x:v>
      </x:c>
      <x:c r="B7" s="2" t="n">
        <x:v>10000</x:v>
      </x:c>
      <x:c r="C7" s="7" t="n">
        <x:v>45291.5</x:v>
      </x:c>
      <x:c r="D7" s="2" t="str">
        <x:v>239</x:v>
      </x:c>
      <x:c r="E7" s="2" t="str">
        <x:v>239</x:v>
      </x:c>
      <x:c r="F7" s="2" t="str">
        <x:v>Restbetrag</x:v>
      </x:c>
      <x:c r="G7" s="5" t="n">
        <x:v>200</x:v>
      </x:c>
      <x:c r="H7" s="5" t="n">
        <x:v>0</x:v>
      </x:c>
      <x:c r="I7" s="5" t="n">
        <x:f>G7-H7</x:f>
        <x:v>200</x:v>
      </x:c>
      <x:c r="J7" s="2" t="str">
        <x:v>20230101_3547</x:v>
      </x:c>
      <x:c r="K7" s="2"/>
      <x:c r="L7" s="2"/>
      <x:c r="M7" s="2"/>
      <x:c r="N7" s="2"/>
    </x:row>
    <x:row r="8">
      <x:c r="A8" s="2" t="n">
        <x:v>8</x:v>
      </x:c>
      <x:c r="B8" s="2" t="n">
        <x:v>10000</x:v>
      </x:c>
      <x:c r="C8" s="7" t="n">
        <x:v>45140.5</x:v>
      </x:c>
      <x:c r="D8" s="2" t="str">
        <x:v>2023%339</x:v>
      </x:c>
      <x:c r="E8" s="2" t="str">
        <x:v>2023%339</x:v>
      </x:c>
      <x:c r="F8" s="2" t="str">
        <x:v>Aksoy</x:v>
      </x:c>
      <x:c r="G8" s="5" t="n">
        <x:v>2310</x:v>
      </x:c>
      <x:c r="H8" s="5" t="n">
        <x:v>0</x:v>
      </x:c>
      <x:c r="I8" s="5" t="n">
        <x:f>G8-H8</x:f>
        <x:v>2310</x:v>
      </x:c>
      <x:c r="J8" s="2" t="str">
        <x:v>20230101_3281</x:v>
      </x:c>
      <x:c r="K8" s="2"/>
      <x:c r="L8" s="2"/>
      <x:c r="M8" s="2"/>
      <x:c r="N8" s="2"/>
    </x:row>
    <x:row r="9">
      <x:c r="A9" s="2" t="n">
        <x:v>9</x:v>
      </x:c>
      <x:c r="B9" s="2" t="n">
        <x:v>10000</x:v>
      </x:c>
      <x:c r="C9" s="7" t="n">
        <x:v>45252.5</x:v>
      </x:c>
      <x:c r="D9" s="2" t="str">
        <x:v>Storno%RE%18255</x:v>
      </x:c>
      <x:c r="E9" s="2" t="str">
        <x:v>Storno%RE%18255</x:v>
      </x:c>
      <x:c r="F9" s="2" t="str">
        <x:v>Alicia Aksoy zu 2023_339</x:v>
      </x:c>
      <x:c r="G9" s="5" t="n">
        <x:v>231</x:v>
      </x:c>
      <x:c r="H9" s="5" t="n">
        <x:v>0</x:v>
      </x:c>
      <x:c r="I9" s="5" t="n">
        <x:f>G9-H9</x:f>
        <x:v>231</x:v>
      </x:c>
      <x:c r="J9" s="2" t="str">
        <x:v>20230101_3462</x:v>
      </x:c>
      <x:c r="K9" s="2"/>
      <x:c r="L9" s="2"/>
      <x:c r="M9" s="2"/>
      <x:c r="N9" s="2"/>
    </x:row>
    <x:row r="10">
      <x:c r="A10" s="2" t="n">
        <x:v>10</x:v>
      </x:c>
      <x:c r="B10" s="2" t="n">
        <x:v>10000</x:v>
      </x:c>
      <x:c r="C10" s="7" t="n">
        <x:v>44991.5</x:v>
      </x:c>
      <x:c r="D10" s="2" t="str">
        <x:v>VRNeu15/2</x:v>
      </x:c>
      <x:c r="E10" s="2" t="str">
        <x:v>VRNeu15/2</x:v>
      </x:c>
      <x:c r="F10" s="2" t="str">
        <x:v>Marie Ahlemeyer 2022-164</x:v>
      </x:c>
      <x:c r="G10" s="5" t="n">
        <x:v>0</x:v>
      </x:c>
      <x:c r="H10" s="5" t="n">
        <x:v>125</x:v>
      </x:c>
      <x:c r="I10" s="5" t="n">
        <x:f>G10-H10</x:f>
        <x:v>-125</x:v>
      </x:c>
      <x:c r="J10" s="2" t="str">
        <x:v>20230101_2650</x:v>
      </x:c>
      <x:c r="K10" s="2"/>
      <x:c r="L10" s="2"/>
      <x:c r="M10" s="2"/>
      <x:c r="N10" s="2"/>
    </x:row>
    <x:row r="11">
      <x:c r="A11" s="2" t="n">
        <x:v>11</x:v>
      </x:c>
      <x:c r="B11" s="2" t="n">
        <x:v>10000</x:v>
      </x:c>
      <x:c r="C11" s="7" t="n">
        <x:v>45069.5</x:v>
      </x:c>
      <x:c r="D11" s="2" t="str">
        <x:v>VRNeu43</x:v>
      </x:c>
      <x:c r="E11" s="2" t="str">
        <x:v>VRNeu43</x:v>
      </x:c>
      <x:c r="F11" s="2" t="str">
        <x:v>Aydin 2022_207</x:v>
      </x:c>
      <x:c r="G11" s="5" t="n">
        <x:v>0</x:v>
      </x:c>
      <x:c r="H11" s="5" t="n">
        <x:v>2600</x:v>
      </x:c>
      <x:c r="I11" s="5" t="n">
        <x:f>G11-H11</x:f>
        <x:v>-2600</x:v>
      </x:c>
      <x:c r="J11" s="2" t="str">
        <x:v>20230101_2999</x:v>
      </x:c>
      <x:c r="K11" s="2"/>
      <x:c r="L11" s="2"/>
      <x:c r="M11" s="2"/>
      <x:c r="N11" s="2"/>
    </x:row>
    <x:row r="12">
      <x:c r="A12" s="2" t="n">
        <x:v>12</x:v>
      </x:c>
      <x:c r="B12" s="2" t="n">
        <x:v>10000</x:v>
      </x:c>
      <x:c r="C12" s="7" t="n">
        <x:v>45069.5</x:v>
      </x:c>
      <x:c r="D12" s="2" t="str">
        <x:v>VRNeu43</x:v>
      </x:c>
      <x:c r="E12" s="2" t="str">
        <x:v>VRNeu43</x:v>
      </x:c>
      <x:c r="F12" s="2" t="str">
        <x:v>Skonto</x:v>
      </x:c>
      <x:c r="G12" s="5" t="n">
        <x:v>0</x:v>
      </x:c>
      <x:c r="H12" s="5" t="n">
        <x:v>100</x:v>
      </x:c>
      <x:c r="I12" s="5" t="n">
        <x:f>G12-H12</x:f>
        <x:v>-100</x:v>
      </x:c>
      <x:c r="J12" s="2" t="str">
        <x:v>20230101_3000</x:v>
      </x:c>
      <x:c r="K12" s="2"/>
      <x:c r="L12" s="2"/>
      <x:c r="M12" s="2"/>
      <x:c r="N12" s="2"/>
    </x:row>
    <x:row r="13">
      <x:c r="A13" s="2" t="n">
        <x:v>13</x:v>
      </x:c>
      <x:c r="B13" s="2" t="n">
        <x:v>10000</x:v>
      </x:c>
      <x:c r="C13" s="7" t="n">
        <x:v>45119.5</x:v>
      </x:c>
      <x:c r="D13" s="2" t="str">
        <x:v>VRNeu54/2</x:v>
      </x:c>
      <x:c r="E13" s="2" t="str">
        <x:v>VRNeu54/2</x:v>
      </x:c>
      <x:c r="F13" s="2" t="str">
        <x:v>Ahlemeyer 2022 165</x:v>
      </x:c>
      <x:c r="G13" s="5" t="n">
        <x:v>0</x:v>
      </x:c>
      <x:c r="H13" s="5" t="n">
        <x:v>500</x:v>
      </x:c>
      <x:c r="I13" s="5" t="n">
        <x:f>G13-H13</x:f>
        <x:v>-500</x:v>
      </x:c>
      <x:c r="J13" s="2" t="str">
        <x:v>20230101_3207</x:v>
      </x:c>
      <x:c r="K13" s="2"/>
      <x:c r="L13" s="2"/>
      <x:c r="M13" s="2"/>
      <x:c r="N13" s="2"/>
    </x:row>
    <x:row r="14">
      <x:c r="A14" s="2" t="n">
        <x:v>14</x:v>
      </x:c>
      <x:c r="B14" s="2" t="n">
        <x:v>10000</x:v>
      </x:c>
      <x:c r="C14" s="7" t="n">
        <x:v>45140.5</x:v>
      </x:c>
      <x:c r="D14" s="2" t="str">
        <x:v>VRNeu60/3</x:v>
      </x:c>
      <x:c r="E14" s="2" t="str">
        <x:v>VRNeu60/3</x:v>
      </x:c>
      <x:c r="F14" s="2" t="str">
        <x:v>Akosy 2023-339</x:v>
      </x:c>
      <x:c r="G14" s="5" t="n">
        <x:v>0</x:v>
      </x:c>
      <x:c r="H14" s="5" t="n">
        <x:v>462</x:v>
      </x:c>
      <x:c r="I14" s="5" t="n">
        <x:f>G14-H14</x:f>
        <x:v>-462</x:v>
      </x:c>
      <x:c r="J14" s="2" t="str">
        <x:v>20230101_3285</x:v>
      </x:c>
      <x:c r="K14" s="2"/>
      <x:c r="L14" s="2"/>
      <x:c r="M14" s="2"/>
      <x:c r="N14" s="2"/>
    </x:row>
    <x:row r="15">
      <x:c r="A15" s="2" t="n">
        <x:v>15</x:v>
      </x:c>
      <x:c r="B15" s="2" t="n">
        <x:v>10000</x:v>
      </x:c>
      <x:c r="C15" s="7" t="n">
        <x:v>45173.5</x:v>
      </x:c>
      <x:c r="D15" s="2" t="str">
        <x:v>VRNeu68/1</x:v>
      </x:c>
      <x:c r="E15" s="2" t="str">
        <x:v>VRNeu68/1</x:v>
      </x:c>
      <x:c r="F15" s="2" t="str">
        <x:v>Aksoy</x:v>
      </x:c>
      <x:c r="G15" s="5" t="n">
        <x:v>0</x:v>
      </x:c>
      <x:c r="H15" s="5" t="n">
        <x:v>1848</x:v>
      </x:c>
      <x:c r="I15" s="5" t="n">
        <x:f>G15-H15</x:f>
        <x:v>-1848</x:v>
      </x:c>
      <x:c r="J15" s="2" t="str">
        <x:v>20230101_3332</x:v>
      </x:c>
      <x:c r="K15" s="2"/>
      <x:c r="L15" s="2"/>
      <x:c r="M15" s="2"/>
      <x:c r="N15" s="2"/>
    </x:row>
    <x:row r="16">
      <x:c r="A16" s="2" t="n">
        <x:v>16</x:v>
      </x:c>
      <x:c r="B16" s="2" t="n">
        <x:v>10000</x:v>
      </x:c>
      <x:c r="C16" s="7" t="n">
        <x:v>45260.5</x:v>
      </x:c>
      <x:c r="D16" s="2" t="str">
        <x:v>VRNeu92/3</x:v>
      </x:c>
      <x:c r="E16" s="2" t="str">
        <x:v>VRNeu92/3</x:v>
      </x:c>
      <x:c r="F16" s="2" t="str">
        <x:v>Alicia Aksoy Gutschrift 18255</x:v>
      </x:c>
      <x:c r="G16" s="5" t="n">
        <x:v>231</x:v>
      </x:c>
      <x:c r="H16" s="5" t="n">
        <x:v>0</x:v>
      </x:c>
      <x:c r="I16" s="5" t="n">
        <x:f>G16-H16</x:f>
        <x:v>231</x:v>
      </x:c>
      <x:c r="J16" s="2" t="str">
        <x:v>20230101_3483</x:v>
      </x:c>
      <x:c r="K16" s="2"/>
      <x:c r="L16" s="2"/>
      <x:c r="M16" s="2"/>
      <x:c r="N16" s="2"/>
    </x:row>
    <x:row r="17">
      <x:c r="A17" s="2" t="n">
        <x:v>23</x:v>
      </x:c>
      <x:c r="B17" s="2" t="n">
        <x:v>10003</x:v>
      </x:c>
      <x:c r="C17" s="7" t="n">
        <x:v>45463.5</x:v>
      </x:c>
      <x:c r="D17" s="2" t="str">
        <x:v>2024235</x:v>
      </x:c>
      <x:c r="E17" s="2" t="str">
        <x:v>2024235</x:v>
      </x:c>
      <x:c r="F17" s="2" t="str">
        <x:v>Erdmenger/Tenhorst Lucy</x:v>
      </x:c>
      <x:c r="G17" s="5" t="n">
        <x:v>2080</x:v>
      </x:c>
      <x:c r="H17" s="5" t="n">
        <x:v>0</x:v>
      </x:c>
      <x:c r="I17" s="5" t="n">
        <x:f>G17-H17</x:f>
        <x:v>2080</x:v>
      </x:c>
      <x:c r="J17" s="2" t="str">
        <x:v>20240101_9677</x:v>
      </x:c>
      <x:c r="K17" s="2"/>
      <x:c r="L17" s="2"/>
      <x:c r="M17" s="2"/>
      <x:c r="N17" s="2"/>
    </x:row>
    <x:row r="18">
      <x:c r="A18" s="2" t="n">
        <x:v>24</x:v>
      </x:c>
      <x:c r="B18" s="2" t="n">
        <x:v>10003</x:v>
      </x:c>
      <x:c r="C18" s="7" t="n">
        <x:v>45635.5</x:v>
      </x:c>
      <x:c r="D18" s="2" t="str">
        <x:v>081870-2024-3960-G32</x:v>
      </x:c>
      <x:c r="E18" s="2" t="str">
        <x:v>081870-2024-3960-G32</x:v>
      </x:c>
      <x:c r="F18" s="2" t="str">
        <x:v>Lucy Erdmenger Storno zu RE 2024-235Ä</x:v>
      </x:c>
      <x:c r="G18" s="5" t="n">
        <x:v>0</x:v>
      </x:c>
      <x:c r="H18" s="5" t="n">
        <x:v>476</x:v>
      </x:c>
      <x:c r="I18" s="5" t="n">
        <x:f>G18-H18</x:f>
        <x:v>-476</x:v>
      </x:c>
      <x:c r="J18" s="2" t="str">
        <x:v>20240101_9781</x:v>
      </x:c>
      <x:c r="K18" s="2"/>
      <x:c r="L18" s="2"/>
      <x:c r="M18" s="2"/>
      <x:c r="N18" s="2"/>
    </x:row>
    <x:row r="19">
      <x:c r="A19" s="2" t="n">
        <x:v>25</x:v>
      </x:c>
      <x:c r="B19" s="2" t="n">
        <x:v>10003</x:v>
      </x:c>
      <x:c r="C19" s="7" t="n">
        <x:v>45576.5</x:v>
      </x:c>
      <x:c r="D19" s="2" t="str">
        <x:v>2024-235</x:v>
      </x:c>
      <x:c r="E19" s="2" t="str">
        <x:v>2024-235</x:v>
      </x:c>
      <x:c r="F19" s="2" t="str">
        <x:v>Lucy ERdmenger 2024-235A</x:v>
      </x:c>
      <x:c r="G19" s="5" t="n">
        <x:v>0</x:v>
      </x:c>
      <x:c r="H19" s="5" t="n">
        <x:v>720</x:v>
      </x:c>
      <x:c r="I19" s="5" t="n">
        <x:f>G19-H19</x:f>
        <x:v>-720</x:v>
      </x:c>
      <x:c r="J19" s="2" t="str">
        <x:v>20240101_9744</x:v>
      </x:c>
      <x:c r="K19" s="2"/>
      <x:c r="L19" s="2"/>
      <x:c r="M19" s="2"/>
      <x:c r="N19" s="2"/>
    </x:row>
    <x:row r="20">
      <x:c r="A20" s="2" t="n">
        <x:v>28</x:v>
      </x:c>
      <x:c r="B20" s="2" t="n">
        <x:v>10003</x:v>
      </x:c>
      <x:c r="C20" s="7" t="n">
        <x:v>45295.5</x:v>
      </x:c>
      <x:c r="D20" s="2" t="str">
        <x:v>Debi2024-106</x:v>
      </x:c>
      <x:c r="E20" s="2" t="str">
        <x:v>Debi2024-106</x:v>
      </x:c>
      <x:c r="F20" s="2" t="str">
        <x:v>Lucy Maria Erdmenger/Terhorst</x:v>
      </x:c>
      <x:c r="G20" s="5" t="n">
        <x:v>16400</x:v>
      </x:c>
      <x:c r="H20" s="5" t="n">
        <x:v>0</x:v>
      </x:c>
      <x:c r="I20" s="5" t="n">
        <x:f>G20-H20</x:f>
        <x:v>16400</x:v>
      </x:c>
      <x:c r="J20" s="2" t="str">
        <x:v>20240101_8235</x:v>
      </x:c>
      <x:c r="K20" s="2"/>
      <x:c r="L20" s="2"/>
      <x:c r="M20" s="2"/>
      <x:c r="N20" s="2"/>
    </x:row>
    <x:row r="21">
      <x:c r="A21" t="n">
        <x:v>29</x:v>
      </x:c>
      <x:c r="B21" t="n">
        <x:v>10003</x:v>
      </x:c>
      <x:c r="C21" s="8" t="n">
        <x:v>45463.5</x:v>
      </x:c>
      <x:c r="D21" t="str">
        <x:v>Debi2024-235</x:v>
      </x:c>
      <x:c r="E21" t="str">
        <x:v>Debi2024-235</x:v>
      </x:c>
      <x:c r="F21" t="str">
        <x:v>Lucy Marie Erdmenger / Terhorst</x:v>
      </x:c>
      <x:c r="G21" s="6" t="n">
        <x:v>680</x:v>
      </x:c>
      <x:c r="H21" s="6" t="n">
        <x:v>0</x:v>
      </x:c>
      <x:c r="I21" s="6" t="n">
        <x:f>G21-H21</x:f>
        <x:v>680</x:v>
      </x:c>
      <x:c r="J21" t="str">
        <x:v>20240101_8881</x:v>
      </x:c>
    </x:row>
    <x:row r="22">
      <x:c r="A22" t="n">
        <x:v>30</x:v>
      </x:c>
      <x:c r="B22" t="n">
        <x:v>10003</x:v>
      </x:c>
      <x:c r="C22" s="8" t="n">
        <x:v>45576.5</x:v>
      </x:c>
      <x:c r="D22" t="str">
        <x:v>Debi2024-235</x:v>
      </x:c>
      <x:c r="E22" t="str">
        <x:v>Debi2024-235</x:v>
      </x:c>
      <x:c r="F22" t="str">
        <x:v>Lucy Marie Erdmanger/Terhorst</x:v>
      </x:c>
      <x:c r="G22" s="6" t="n">
        <x:v>680</x:v>
      </x:c>
      <x:c r="H22" s="6" t="n">
        <x:v>0</x:v>
      </x:c>
      <x:c r="I22" s="6" t="n">
        <x:f>G22-H22</x:f>
        <x:v>680</x:v>
      </x:c>
      <x:c r="J22" t="str">
        <x:v>20240101_9309</x:v>
      </x:c>
    </x:row>
    <x:row r="23">
      <x:c r="A23" t="n">
        <x:v>31</x:v>
      </x:c>
      <x:c r="B23" t="n">
        <x:v>10003</x:v>
      </x:c>
      <x:c r="C23" s="8" t="n">
        <x:v>45463.5</x:v>
      </x:c>
      <x:c r="D23" t="str">
        <x:v>Debi2024-237</x:v>
      </x:c>
      <x:c r="E23" t="str">
        <x:v>Debi2024-237</x:v>
      </x:c>
      <x:c r="F23" t="str">
        <x:v>Lucy Marie Erdmenger / Terhorst</x:v>
      </x:c>
      <x:c r="G23" s="6" t="n">
        <x:v>380</x:v>
      </x:c>
      <x:c r="H23" s="6" t="n">
        <x:v>0</x:v>
      </x:c>
      <x:c r="I23" s="6" t="n">
        <x:f>G23-H23</x:f>
        <x:v>380</x:v>
      </x:c>
      <x:c r="J23" t="str">
        <x:v>20240101_8882</x:v>
      </x:c>
    </x:row>
    <x:row r="24">
      <x:c r="A24" t="n">
        <x:v>34</x:v>
      </x:c>
      <x:c r="B24" t="n">
        <x:v>10003</x:v>
      </x:c>
      <x:c r="C24" s="8" t="n">
        <x:v>45576.5</x:v>
      </x:c>
      <x:c r="D24" t="str">
        <x:v>Stornore18249</x:v>
      </x:c>
      <x:c r="E24" t="str">
        <x:v>Stornore18249</x:v>
      </x:c>
      <x:c r="F24" t="str">
        <x:v>Lucy Erdmenger /Terhorst</x:v>
      </x:c>
      <x:c r="G24" s="6" t="n">
        <x:v>5.56</x:v>
      </x:c>
      <x:c r="H24" s="6" t="n">
        <x:v>0</x:v>
      </x:c>
      <x:c r="I24" s="6" t="n">
        <x:f>G24-H24</x:f>
        <x:v>5.56</x:v>
      </x:c>
      <x:c r="J24" t="str">
        <x:v>20240101_9745</x:v>
      </x:c>
    </x:row>
    <x:row r="25">
      <x:c r="A25" t="n">
        <x:v>35</x:v>
      </x:c>
      <x:c r="B25" t="n">
        <x:v>10003</x:v>
      </x:c>
      <x:c r="C25" s="8" t="n">
        <x:v>45642.5</x:v>
      </x:c>
      <x:c r="D25" t="str">
        <x:v>Voba108/1</x:v>
      </x:c>
      <x:c r="E25" t="str">
        <x:v>Voba108/1</x:v>
      </x:c>
      <x:c r="F25" t="str">
        <x:v>Lucy Erdmenger Strono 18255</x:v>
      </x:c>
      <x:c r="G25" s="6" t="n">
        <x:v>476</x:v>
      </x:c>
      <x:c r="H25" s="6" t="n">
        <x:v>0</x:v>
      </x:c>
      <x:c r="I25" s="6" t="n">
        <x:f>G25-H25</x:f>
        <x:v>476</x:v>
      </x:c>
      <x:c r="J25" t="str">
        <x:v>20240101_9547</x:v>
      </x:c>
    </x:row>
    <x:row r="26">
      <x:c r="A26" t="n">
        <x:v>36</x:v>
      </x:c>
      <x:c r="B26" t="n">
        <x:v>10003</x:v>
      </x:c>
      <x:c r="C26" s="8" t="n">
        <x:v>45357.5</x:v>
      </x:c>
      <x:c r="D26" t="str">
        <x:v>Voba16/2</x:v>
      </x:c>
      <x:c r="E26" t="str">
        <x:v>Voba16/2</x:v>
      </x:c>
      <x:c r="F26" t="str">
        <x:v>Lucy Erdmanger 2024-106</x:v>
      </x:c>
      <x:c r="G26" s="6" t="n">
        <x:v>0</x:v>
      </x:c>
      <x:c r="H26" s="6" t="n">
        <x:v>3280</x:v>
      </x:c>
      <x:c r="I26" s="6" t="n">
        <x:f>G26-H26</x:f>
        <x:v>-3280</x:v>
      </x:c>
      <x:c r="J26" t="str">
        <x:v>20240101_8512</x:v>
      </x:c>
    </x:row>
    <x:row r="27">
      <x:c r="A27" t="n">
        <x:v>37</x:v>
      </x:c>
      <x:c r="B27" t="n">
        <x:v>10003</x:v>
      </x:c>
      <x:c r="C27" s="8" t="n">
        <x:v>45301.5</x:v>
      </x:c>
      <x:c r="D27" t="str">
        <x:v>Voba4/2</x:v>
      </x:c>
      <x:c r="E27" t="str">
        <x:v>Voba4/2</x:v>
      </x:c>
      <x:c r="F27" t="str">
        <x:v>Lucy Erdmenger 2024-106</x:v>
      </x:c>
      <x:c r="G27" s="6" t="n">
        <x:v>0</x:v>
      </x:c>
      <x:c r="H27" s="6" t="n">
        <x:v>3280</x:v>
      </x:c>
      <x:c r="I27" s="6" t="n">
        <x:f>G27-H27</x:f>
        <x:v>-3280</x:v>
      </x:c>
      <x:c r="J27" t="str">
        <x:v>20240101_8268</x:v>
      </x:c>
    </x:row>
    <x:row r="28">
      <x:c r="A28" t="n">
        <x:v>38</x:v>
      </x:c>
      <x:c r="B28" t="n">
        <x:v>10003</x:v>
      </x:c>
      <x:c r="C28" s="8" t="n">
        <x:v>45443.5</x:v>
      </x:c>
      <x:c r="D28" t="str">
        <x:v>Voba43/5</x:v>
      </x:c>
      <x:c r="E28" t="str">
        <x:v>Voba43/5</x:v>
      </x:c>
      <x:c r="F28" t="str">
        <x:v>Lucy Marie Erdmenger 2024-106</x:v>
      </x:c>
      <x:c r="G28" s="6" t="n">
        <x:v>0</x:v>
      </x:c>
      <x:c r="H28" s="6" t="n">
        <x:v>9840</x:v>
      </x:c>
      <x:c r="I28" s="6" t="n">
        <x:f>G28-H28</x:f>
        <x:v>-9840</x:v>
      </x:c>
      <x:c r="J28" t="str">
        <x:v>20240101_8818</x:v>
      </x:c>
    </x:row>
    <x:row r="29">
      <x:c r="A29" t="n">
        <x:v>39</x:v>
      </x:c>
      <x:c r="B29" t="n">
        <x:v>10003</x:v>
      </x:c>
      <x:c r="C29" s="8" t="n">
        <x:v>45474.5</x:v>
      </x:c>
      <x:c r="D29" t="str">
        <x:v>Voba53/1</x:v>
      </x:c>
      <x:c r="E29" t="str">
        <x:v>Voba53/1</x:v>
      </x:c>
      <x:c r="F29" t="str">
        <x:v>Lucy Erdmenger 2024-235</x:v>
      </x:c>
      <x:c r="G29" s="6" t="n">
        <x:v>0</x:v>
      </x:c>
      <x:c r="H29" s="6" t="n">
        <x:v>416</x:v>
      </x:c>
      <x:c r="I29" s="6" t="n">
        <x:f>G29-H29</x:f>
        <x:v>-416</x:v>
      </x:c>
      <x:c r="J29" t="str">
        <x:v>20240101_8922</x:v>
      </x:c>
    </x:row>
    <x:row r="30">
      <x:c r="A30" t="n">
        <x:v>40</x:v>
      </x:c>
      <x:c r="B30" t="n">
        <x:v>10003</x:v>
      </x:c>
      <x:c r="C30" s="8" t="n">
        <x:v>45588.5</x:v>
      </x:c>
      <x:c r="D30" t="str">
        <x:v>Voba90/2</x:v>
      </x:c>
      <x:c r="E30" t="str">
        <x:v>Voba90/2</x:v>
      </x:c>
      <x:c r="F30" t="str">
        <x:v>Lucy Erdmenger Terhosrt 2024-237</x:v>
      </x:c>
      <x:c r="G30" s="6" t="n">
        <x:v>0</x:v>
      </x:c>
      <x:c r="H30" s="6" t="n">
        <x:v>380</x:v>
      </x:c>
      <x:c r="I30" s="6" t="n">
        <x:f>G30-H30</x:f>
        <x:v>-380</x:v>
      </x:c>
      <x:c r="J30" t="str">
        <x:v>20240101_9354</x:v>
      </x:c>
    </x:row>
    <x:row r="31">
      <x:c r="A31" t="n">
        <x:v>41</x:v>
      </x:c>
      <x:c r="B31" t="n">
        <x:v>10003</x:v>
      </x:c>
      <x:c r="C31" s="8" t="n">
        <x:v>45588.5</x:v>
      </x:c>
      <x:c r="D31" t="str">
        <x:v>Voba90/2</x:v>
      </x:c>
      <x:c r="E31" t="str">
        <x:v>Voba90/2</x:v>
      </x:c>
      <x:c r="F31" t="str">
        <x:v>Lucy Erdmenger Terhorst 2024-235</x:v>
      </x:c>
      <x:c r="G31" s="6" t="n">
        <x:v>0</x:v>
      </x:c>
      <x:c r="H31" s="6" t="n">
        <x:v>944</x:v>
      </x:c>
      <x:c r="I31" s="6" t="n">
        <x:f>G31-H31</x:f>
        <x:v>-944</x:v>
      </x:c>
      <x:c r="J31" t="str">
        <x:v>20240101_9355</x:v>
      </x:c>
    </x:row>
    <x:row r="32">
      <x:c r="A32" t="n">
        <x:v>42</x:v>
      </x:c>
      <x:c r="B32" t="n">
        <x:v>10003</x:v>
      </x:c>
      <x:c r="C32" s="8" t="n">
        <x:v>45588.5</x:v>
      </x:c>
      <x:c r="D32" t="str">
        <x:v>Voba90/2</x:v>
      </x:c>
      <x:c r="E32" t="str">
        <x:v>Voba90/2</x:v>
      </x:c>
      <x:c r="F32" t="str">
        <x:v>Lucy Terhorst Stornorechnung 18249</x:v>
      </x:c>
      <x:c r="G32" s="6" t="n">
        <x:v>0</x:v>
      </x:c>
      <x:c r="H32" s="6" t="n">
        <x:v>5.56</x:v>
      </x:c>
      <x:c r="I32" s="6" t="n">
        <x:f>G32-H32</x:f>
        <x:v>-5.56</x:v>
      </x:c>
      <x:c r="J32" t="str">
        <x:v>20240101_9356</x:v>
      </x:c>
    </x:row>
    <x:row r="33">
      <x:c r="A33" t="n">
        <x:v>45</x:v>
      </x:c>
      <x:c r="B33" t="n">
        <x:v>10004</x:v>
      </x:c>
      <x:c r="C33" s="8" t="n">
        <x:v>45295.5</x:v>
      </x:c>
      <x:c r="D33" t="str">
        <x:v>Debi2024-107</x:v>
      </x:c>
      <x:c r="E33" t="str">
        <x:v>Debi2024-107</x:v>
      </x:c>
      <x:c r="F33" t="str">
        <x:v>Sarah Richter</x:v>
      </x:c>
      <x:c r="G33" s="6" t="n">
        <x:v>15490</x:v>
      </x:c>
      <x:c r="H33" s="6" t="n">
        <x:v>0</x:v>
      </x:c>
      <x:c r="I33" s="6" t="n">
        <x:f>G33-H33</x:f>
        <x:v>15490</x:v>
      </x:c>
      <x:c r="J33" t="str">
        <x:v>20240101_8236</x:v>
      </x:c>
    </x:row>
    <x:row r="34">
      <x:c r="A34" t="n">
        <x:v>46</x:v>
      </x:c>
      <x:c r="B34" t="n">
        <x:v>10004</x:v>
      </x:c>
      <x:c r="C34" s="8" t="n">
        <x:v>45474.5</x:v>
      </x:c>
      <x:c r="D34" t="str">
        <x:v>Debi2024-236</x:v>
      </x:c>
      <x:c r="E34" t="str">
        <x:v>Debi2024-236</x:v>
      </x:c>
      <x:c r="F34" t="str">
        <x:v>Sarah Richter</x:v>
      </x:c>
      <x:c r="G34" s="6" t="n">
        <x:v>210</x:v>
      </x:c>
      <x:c r="H34" s="6" t="n">
        <x:v>0</x:v>
      </x:c>
      <x:c r="I34" s="6" t="n">
        <x:f>G34-H34</x:f>
        <x:v>210</x:v>
      </x:c>
      <x:c r="J34" t="str">
        <x:v>20240101_8918</x:v>
      </x:c>
    </x:row>
    <x:row r="35">
      <x:c r="A35" t="n">
        <x:v>47</x:v>
      </x:c>
      <x:c r="B35" t="n">
        <x:v>10004</x:v>
      </x:c>
      <x:c r="C35" s="8" t="n">
        <x:v>45593.5</x:v>
      </x:c>
      <x:c r="D35" t="str">
        <x:v>Debi2024-324</x:v>
      </x:c>
      <x:c r="E35" t="str">
        <x:v>Debi2024-324</x:v>
      </x:c>
      <x:c r="F35" t="str">
        <x:v>Sarah Richter</x:v>
      </x:c>
      <x:c r="G35" s="6" t="n">
        <x:v>0</x:v>
      </x:c>
      <x:c r="H35" s="6" t="n">
        <x:v>20</x:v>
      </x:c>
      <x:c r="I35" s="6" t="n">
        <x:f>G35-H35</x:f>
        <x:v>-20</x:v>
      </x:c>
      <x:c r="J35" t="str">
        <x:v>20240101_9365</x:v>
      </x:c>
    </x:row>
    <x:row r="36">
      <x:c r="A36" t="n">
        <x:v>48</x:v>
      </x:c>
      <x:c r="B36" t="n">
        <x:v>10004</x:v>
      </x:c>
      <x:c r="C36" s="8" t="n">
        <x:v>45364.5</x:v>
      </x:c>
      <x:c r="D36" t="str">
        <x:v>Voba18/3</x:v>
      </x:c>
      <x:c r="E36" t="str">
        <x:v>Voba18/3</x:v>
      </x:c>
      <x:c r="F36" t="str">
        <x:v>Sarah Richter 2024-107</x:v>
      </x:c>
      <x:c r="G36" s="6" t="n">
        <x:v>0</x:v>
      </x:c>
      <x:c r="H36" s="6" t="n">
        <x:v>3098</x:v>
      </x:c>
      <x:c r="I36" s="6" t="n">
        <x:f>G36-H36</x:f>
        <x:v>-3098</x:v>
      </x:c>
      <x:c r="J36" t="str">
        <x:v>20240101_8542</x:v>
      </x:c>
    </x:row>
    <x:row r="37">
      <x:c r="A37" t="n">
        <x:v>49</x:v>
      </x:c>
      <x:c r="B37" t="n">
        <x:v>10004</x:v>
      </x:c>
      <x:c r="C37" s="8" t="n">
        <x:v>45436.5</x:v>
      </x:c>
      <x:c r="D37" t="str">
        <x:v>Voba42/3</x:v>
      </x:c>
      <x:c r="E37" t="str">
        <x:v>Voba42/3</x:v>
      </x:c>
      <x:c r="F37" t="str">
        <x:v>Sarah Richter 2024-107</x:v>
      </x:c>
      <x:c r="G37" s="6" t="n">
        <x:v>0</x:v>
      </x:c>
      <x:c r="H37" s="6" t="n">
        <x:v>9294</x:v>
      </x:c>
      <x:c r="I37" s="6" t="n">
        <x:f>G37-H37</x:f>
        <x:v>-9294</x:v>
      </x:c>
      <x:c r="J37" t="str">
        <x:v>20240101_8795</x:v>
      </x:c>
    </x:row>
    <x:row r="38">
      <x:c r="A38" t="n">
        <x:v>50</x:v>
      </x:c>
      <x:c r="B38" t="n">
        <x:v>10004</x:v>
      </x:c>
      <x:c r="C38" s="8" t="n">
        <x:v>45310.5</x:v>
      </x:c>
      <x:c r="D38" t="str">
        <x:v>Voba6/2</x:v>
      </x:c>
      <x:c r="E38" t="str">
        <x:v>Voba6/2</x:v>
      </x:c>
      <x:c r="F38" t="str">
        <x:v>Sarah Richter 2024-107</x:v>
      </x:c>
      <x:c r="G38" s="6" t="n">
        <x:v>0</x:v>
      </x:c>
      <x:c r="H38" s="6" t="n">
        <x:v>3098</x:v>
      </x:c>
      <x:c r="I38" s="6" t="n">
        <x:f>G38-H38</x:f>
        <x:v>-3098</x:v>
      </x:c>
      <x:c r="J38" t="str">
        <x:v>20240101_8301</x:v>
      </x:c>
    </x:row>
    <x:row r="39">
      <x:c r="A39" t="n">
        <x:v>92</x:v>
      </x:c>
      <x:c r="B39" t="n">
        <x:v>10010</x:v>
      </x:c>
      <x:c r="C39" s="8" t="n">
        <x:v>45460.5</x:v>
      </x:c>
      <x:c r="D39" t="str">
        <x:v>Voba46/1</x:v>
      </x:c>
      <x:c r="E39" t="str">
        <x:v>Voba46/1</x:v>
      </x:c>
      <x:c r="F39" t="str">
        <x:v>Werner 2024-113</x:v>
      </x:c>
      <x:c r="G39" s="6" t="n">
        <x:v>0</x:v>
      </x:c>
      <x:c r="H39" s="6" t="n">
        <x:v>120</x:v>
      </x:c>
      <x:c r="I39" s="6" t="n">
        <x:f>G39-H39</x:f>
        <x:v>-120</x:v>
      </x:c>
      <x:c r="J39" t="str">
        <x:v>20240101_8866</x:v>
      </x:c>
    </x:row>
    <x:row r="40">
      <x:c r="A40" t="n">
        <x:v>110</x:v>
      </x:c>
      <x:c r="B40" t="n">
        <x:v>10016</x:v>
      </x:c>
      <x:c r="C40" s="8" t="n">
        <x:v>45308.5</x:v>
      </x:c>
      <x:c r="D40" t="str">
        <x:v>Debi2024-119</x:v>
      </x:c>
      <x:c r="E40" t="str">
        <x:v>Debi2024-119</x:v>
      </x:c>
      <x:c r="F40" t="str">
        <x:v>Sophie Kegel</x:v>
      </x:c>
      <x:c r="G40" s="6" t="n">
        <x:v>4119</x:v>
      </x:c>
      <x:c r="H40" s="6" t="n">
        <x:v>0</x:v>
      </x:c>
      <x:c r="I40" s="6" t="n">
        <x:f>G40-H40</x:f>
        <x:v>4119</x:v>
      </x:c>
      <x:c r="J40" t="str">
        <x:v>20240101_8286</x:v>
      </x:c>
    </x:row>
    <x:row r="41">
      <x:c r="A41" t="n">
        <x:v>113</x:v>
      </x:c>
      <x:c r="B41" t="n">
        <x:v>10016</x:v>
      </x:c>
      <x:c r="C41" s="8" t="n">
        <x:v>45362.5</x:v>
      </x:c>
      <x:c r="D41" t="str">
        <x:v>Voba18/1</x:v>
      </x:c>
      <x:c r="E41" t="str">
        <x:v>Voba18/1</x:v>
      </x:c>
      <x:c r="F41" t="str">
        <x:v>Sophie Kegel 2024-119</x:v>
      </x:c>
      <x:c r="G41" s="6" t="n">
        <x:v>0</x:v>
      </x:c>
      <x:c r="H41" s="6" t="n">
        <x:v>823.8</x:v>
      </x:c>
      <x:c r="I41" s="6" t="n">
        <x:f>G41-H41</x:f>
        <x:v>-823.8</x:v>
      </x:c>
      <x:c r="J41" t="str">
        <x:v>20240101_8533</x:v>
      </x:c>
    </x:row>
    <x:row r="42">
      <x:c r="A42" t="n">
        <x:v>126</x:v>
      </x:c>
      <x:c r="B42" t="n">
        <x:v>10021</x:v>
      </x:c>
      <x:c r="C42" s="8" t="n">
        <x:v>45316.5</x:v>
      </x:c>
      <x:c r="D42" t="str">
        <x:v>Debi2024-124</x:v>
      </x:c>
      <x:c r="E42" t="str">
        <x:v>Debi2024-124</x:v>
      </x:c>
      <x:c r="F42" t="str">
        <x:v>Miguel Tjin</x:v>
      </x:c>
      <x:c r="G42" s="6" t="n">
        <x:v>1758</x:v>
      </x:c>
      <x:c r="H42" s="6" t="n">
        <x:v>0</x:v>
      </x:c>
      <x:c r="I42" s="6" t="n">
        <x:f>G42-H42</x:f>
        <x:v>1758</x:v>
      </x:c>
      <x:c r="J42" t="str">
        <x:v>20240101_8324</x:v>
      </x:c>
    </x:row>
    <x:row r="43">
      <x:c r="A43" t="n">
        <x:v>131</x:v>
      </x:c>
      <x:c r="B43" t="n">
        <x:v>10024</x:v>
      </x:c>
      <x:c r="C43" s="8" t="n">
        <x:v>45316.5</x:v>
      </x:c>
      <x:c r="D43" t="str">
        <x:v>Debi2024-127</x:v>
      </x:c>
      <x:c r="E43" t="str">
        <x:v>Debi2024-127</x:v>
      </x:c>
      <x:c r="F43" t="str">
        <x:v>Ciara Sheridan</x:v>
      </x:c>
      <x:c r="G43" s="6" t="n">
        <x:v>332</x:v>
      </x:c>
      <x:c r="H43" s="6" t="n">
        <x:v>0</x:v>
      </x:c>
      <x:c r="I43" s="6" t="n">
        <x:f>G43-H43</x:f>
        <x:v>332</x:v>
      </x:c>
      <x:c r="J43" t="str">
        <x:v>20240101_8326</x:v>
      </x:c>
    </x:row>
    <x:row r="44">
      <x:c r="A44" t="n">
        <x:v>148</x:v>
      </x:c>
      <x:c r="B44" t="n">
        <x:v>10031</x:v>
      </x:c>
      <x:c r="C44" s="8" t="n">
        <x:v>45359.5</x:v>
      </x:c>
      <x:c r="D44" t="str">
        <x:v>Debi2024-134</x:v>
      </x:c>
      <x:c r="E44" t="str">
        <x:v>Debi2024-134</x:v>
      </x:c>
      <x:c r="F44" t="str">
        <x:v>Alyssa Elara Bielefeld</x:v>
      </x:c>
      <x:c r="G44" s="6" t="n">
        <x:v>3150</x:v>
      </x:c>
      <x:c r="H44" s="6" t="n">
        <x:v>0</x:v>
      </x:c>
      <x:c r="I44" s="6" t="n">
        <x:f>G44-H44</x:f>
        <x:v>3150</x:v>
      </x:c>
      <x:c r="J44" t="str">
        <x:v>20240101_8518</x:v>
      </x:c>
    </x:row>
    <x:row r="45">
      <x:c r="A45" t="n">
        <x:v>149</x:v>
      </x:c>
      <x:c r="B45" t="n">
        <x:v>10031</x:v>
      </x:c>
      <x:c r="C45" s="8" t="n">
        <x:v>45369.5</x:v>
      </x:c>
      <x:c r="D45" t="str">
        <x:v>Voba20/1</x:v>
      </x:c>
      <x:c r="E45" t="str">
        <x:v>Voba20/1</x:v>
      </x:c>
      <x:c r="F45" t="str">
        <x:v>Alyssa Bielefeld 2024-134</x:v>
      </x:c>
      <x:c r="G45" s="6" t="n">
        <x:v>0</x:v>
      </x:c>
      <x:c r="H45" s="6" t="n">
        <x:v>290</x:v>
      </x:c>
      <x:c r="I45" s="6" t="n">
        <x:f>G45-H45</x:f>
        <x:v>-290</x:v>
      </x:c>
      <x:c r="J45" t="str">
        <x:v>20240101_8554</x:v>
      </x:c>
    </x:row>
    <x:row r="46">
      <x:c r="A46" t="n">
        <x:v>150</x:v>
      </x:c>
      <x:c r="B46" t="n">
        <x:v>10031</x:v>
      </x:c>
      <x:c r="C46" s="8" t="n">
        <x:v>45453.5</x:v>
      </x:c>
      <x:c r="D46" t="str">
        <x:v>Voba45/1</x:v>
      </x:c>
      <x:c r="E46" t="str">
        <x:v>Voba45/1</x:v>
      </x:c>
      <x:c r="F46" t="str">
        <x:v>Alyssa Elara Bielefeld 2024-136</x:v>
      </x:c>
      <x:c r="G46" s="6" t="n">
        <x:v>0</x:v>
      </x:c>
      <x:c r="H46" s="6" t="n">
        <x:v>340</x:v>
      </x:c>
      <x:c r="I46" s="6" t="n">
        <x:f>G46-H46</x:f>
        <x:v>-340</x:v>
      </x:c>
      <x:c r="J46" t="str">
        <x:v>20240101_8848</x:v>
      </x:c>
    </x:row>
    <x:row r="47">
      <x:c r="A47" t="n">
        <x:v>151</x:v>
      </x:c>
      <x:c r="B47" t="n">
        <x:v>10031</x:v>
      </x:c>
      <x:c r="C47" s="8" t="n">
        <x:v>45551.5</x:v>
      </x:c>
      <x:c r="D47" t="str">
        <x:v>Voba76/1</x:v>
      </x:c>
      <x:c r="E47" t="str">
        <x:v>Voba76/1</x:v>
      </x:c>
      <x:c r="F47" t="str">
        <x:v>Alyssa Elara Bielefeld 2024-134</x:v>
      </x:c>
      <x:c r="G47" s="6" t="n">
        <x:v>0</x:v>
      </x:c>
      <x:c r="H47" s="6" t="n">
        <x:v>1160</x:v>
      </x:c>
      <x:c r="I47" s="6" t="n">
        <x:f>G47-H47</x:f>
        <x:v>-1160</x:v>
      </x:c>
      <x:c r="J47" t="str">
        <x:v>20240101_9218</x:v>
      </x:c>
    </x:row>
    <x:row r="48">
      <x:c r="A48" t="n">
        <x:v>192</x:v>
      </x:c>
      <x:c r="B48" t="n">
        <x:v>10046</x:v>
      </x:c>
      <x:c r="C48" s="8" t="n">
        <x:v>45341.5</x:v>
      </x:c>
      <x:c r="D48" t="str">
        <x:v>Debi2024-150</x:v>
      </x:c>
      <x:c r="E48" t="str">
        <x:v>Debi2024-150</x:v>
      </x:c>
      <x:c r="F48" t="str">
        <x:v>Mathilde Garcia Lopez</x:v>
      </x:c>
      <x:c r="G48" s="6" t="n">
        <x:v>944</x:v>
      </x:c>
      <x:c r="H48" s="6" t="n">
        <x:v>0</x:v>
      </x:c>
      <x:c r="I48" s="6" t="n">
        <x:f>G48-H48</x:f>
        <x:v>944</x:v>
      </x:c>
      <x:c r="J48" t="str">
        <x:v>20240101_8435</x:v>
      </x:c>
    </x:row>
    <x:row r="49">
      <x:c r="A49" t="n">
        <x:v>201</x:v>
      </x:c>
      <x:c r="B49" t="n">
        <x:v>10049</x:v>
      </x:c>
      <x:c r="C49" s="8" t="n">
        <x:v>45401.5</x:v>
      </x:c>
      <x:c r="D49" t="str">
        <x:v>Debi2024-185</x:v>
      </x:c>
      <x:c r="E49" t="str">
        <x:v>Debi2024-185</x:v>
      </x:c>
      <x:c r="F49" t="str">
        <x:v>Annina Benz</x:v>
      </x:c>
      <x:c r="G49" s="6" t="n">
        <x:v>70</x:v>
      </x:c>
      <x:c r="H49" s="6" t="n">
        <x:v>0</x:v>
      </x:c>
      <x:c r="I49" s="6" t="n">
        <x:f>G49-H49</x:f>
        <x:v>70</x:v>
      </x:c>
      <x:c r="J49" t="str">
        <x:v>20240101_8682</x:v>
      </x:c>
    </x:row>
    <x:row r="50">
      <x:c r="A50" t="n">
        <x:v>204</x:v>
      </x:c>
      <x:c r="B50" t="n">
        <x:v>10050</x:v>
      </x:c>
      <x:c r="C50" s="8" t="n">
        <x:v>45489.5</x:v>
      </x:c>
      <x:c r="D50" t="str">
        <x:v>Debi2024-254</x:v>
      </x:c>
      <x:c r="E50" t="str">
        <x:v>Debi2024-254</x:v>
      </x:c>
      <x:c r="F50" t="str">
        <x:v>Dean Krause</x:v>
      </x:c>
      <x:c r="G50" s="6" t="n">
        <x:v>138</x:v>
      </x:c>
      <x:c r="H50" s="6" t="n">
        <x:v>0</x:v>
      </x:c>
      <x:c r="I50" s="6" t="n">
        <x:f>G50-H50</x:f>
        <x:v>138</x:v>
      </x:c>
      <x:c r="J50" t="str">
        <x:v>20240101_8973</x:v>
      </x:c>
    </x:row>
    <x:row r="51">
      <x:c r="A51" t="n">
        <x:v>215</x:v>
      </x:c>
      <x:c r="B51" t="n">
        <x:v>10052</x:v>
      </x:c>
      <x:c r="C51" s="8" t="n">
        <x:v>45350.5</x:v>
      </x:c>
      <x:c r="D51" t="str">
        <x:v>Debi2024-156</x:v>
      </x:c>
      <x:c r="E51" t="str">
        <x:v>Debi2024-156</x:v>
      </x:c>
      <x:c r="F51" t="str">
        <x:v>Hannah McCulloch</x:v>
      </x:c>
      <x:c r="G51" s="6" t="n">
        <x:v>267.6</x:v>
      </x:c>
      <x:c r="H51" s="6" t="n">
        <x:v>0</x:v>
      </x:c>
      <x:c r="I51" s="6" t="n">
        <x:f>G51-H51</x:f>
        <x:v>267.6</x:v>
      </x:c>
      <x:c r="J51" t="str">
        <x:v>20240101_8485</x:v>
      </x:c>
    </x:row>
    <x:row r="52">
      <x:c r="A52" t="n">
        <x:v>216</x:v>
      </x:c>
      <x:c r="B52" t="n">
        <x:v>10052</x:v>
      </x:c>
      <x:c r="C52" s="8" t="n">
        <x:v>45383.5</x:v>
      </x:c>
      <x:c r="D52" t="str">
        <x:v>Voba25/3</x:v>
      </x:c>
      <x:c r="E52" t="str">
        <x:v>Voba25/3</x:v>
      </x:c>
      <x:c r="F52" t="str">
        <x:v>Hanna McCulloch 2024-156</x:v>
      </x:c>
      <x:c r="G52" s="6" t="n">
        <x:v>0</x:v>
      </x:c>
      <x:c r="H52" s="6" t="n">
        <x:v>268</x:v>
      </x:c>
      <x:c r="I52" s="6" t="n">
        <x:f>G52-H52</x:f>
        <x:v>-268</x:v>
      </x:c>
      <x:c r="J52" t="str">
        <x:v>20240101_8642</x:v>
      </x:c>
    </x:row>
    <x:row r="53">
      <x:c r="A53" t="n">
        <x:v>229</x:v>
      </x:c>
      <x:c r="B53" t="n">
        <x:v>10056</x:v>
      </x:c>
      <x:c r="C53" s="8" t="n">
        <x:v>45363.5</x:v>
      </x:c>
      <x:c r="D53" t="str">
        <x:v>Voba18/2</x:v>
      </x:c>
      <x:c r="E53" t="str">
        <x:v>Voba18/2</x:v>
      </x:c>
      <x:c r="F53" t="str">
        <x:v>Leon Schyma 2024-162</x:v>
      </x:c>
      <x:c r="G53" s="6" t="n">
        <x:v>0</x:v>
      </x:c>
      <x:c r="H53" s="6" t="n">
        <x:v>362.7</x:v>
      </x:c>
      <x:c r="I53" s="6" t="n">
        <x:f>G53-H53</x:f>
        <x:v>-362.7</x:v>
      </x:c>
      <x:c r="J53" t="str">
        <x:v>20240101_8538</x:v>
      </x:c>
    </x:row>
    <x:row r="54">
      <x:c r="A54" t="n">
        <x:v>236</x:v>
      </x:c>
      <x:c r="B54" t="n">
        <x:v>10059</x:v>
      </x:c>
      <x:c r="C54" s="8" t="n">
        <x:v>45361.5</x:v>
      </x:c>
      <x:c r="D54" t="str">
        <x:v>Debi2024-165</x:v>
      </x:c>
      <x:c r="E54" t="str">
        <x:v>Debi2024-165</x:v>
      </x:c>
      <x:c r="F54" t="str">
        <x:v>Devin Searcy</x:v>
      </x:c>
      <x:c r="G54" s="6" t="n">
        <x:v>472.5</x:v>
      </x:c>
      <x:c r="H54" s="6" t="n">
        <x:v>0</x:v>
      </x:c>
      <x:c r="I54" s="6" t="n">
        <x:f>G54-H54</x:f>
        <x:v>472.5</x:v>
      </x:c>
      <x:c r="J54" t="str">
        <x:v>20240101_8527</x:v>
      </x:c>
    </x:row>
    <x:row r="55">
      <x:c r="A55" t="n">
        <x:v>248</x:v>
      </x:c>
      <x:c r="B55" t="n">
        <x:v>10061</x:v>
      </x:c>
      <x:c r="C55" s="8" t="n">
        <x:v>45446.5</x:v>
      </x:c>
      <x:c r="D55" t="str">
        <x:v>Voba43/7</x:v>
      </x:c>
      <x:c r="E55" t="str">
        <x:v>Voba43/7</x:v>
      </x:c>
      <x:c r="F55" t="str">
        <x:v>Callum Kay TransfareWise</x:v>
      </x:c>
      <x:c r="G55" s="6" t="n">
        <x:v>0</x:v>
      </x:c>
      <x:c r="H55" s="6" t="n">
        <x:v>35</x:v>
      </x:c>
      <x:c r="I55" s="6" t="n">
        <x:f>G55-H55</x:f>
        <x:v>-35</x:v>
      </x:c>
      <x:c r="J55" t="str">
        <x:v>20240101_8825</x:v>
      </x:c>
    </x:row>
    <x:row r="56">
      <x:c r="A56" t="n">
        <x:v>264</x:v>
      </x:c>
      <x:c r="B56" t="n">
        <x:v>10065</x:v>
      </x:c>
      <x:c r="C56" s="8" t="n">
        <x:v>45528.5</x:v>
      </x:c>
      <x:c r="D56" t="str">
        <x:v>Debi2024-285</x:v>
      </x:c>
      <x:c r="E56" t="str">
        <x:v>Debi2024-285</x:v>
      </x:c>
      <x:c r="F56" t="str">
        <x:v>Annalena Baumgärtner</x:v>
      </x:c>
      <x:c r="G56" s="6" t="n">
        <x:v>30</x:v>
      </x:c>
      <x:c r="H56" s="6" t="n">
        <x:v>0</x:v>
      </x:c>
      <x:c r="I56" s="6" t="n">
        <x:f>G56-H56</x:f>
        <x:v>30</x:v>
      </x:c>
      <x:c r="J56" t="str">
        <x:v>20240101_9137</x:v>
      </x:c>
    </x:row>
    <x:row r="57">
      <x:c r="A57" t="n">
        <x:v>274</x:v>
      </x:c>
      <x:c r="B57" t="n">
        <x:v>10068</x:v>
      </x:c>
      <x:c r="C57" s="8" t="n">
        <x:v>45378.5</x:v>
      </x:c>
      <x:c r="D57" t="str">
        <x:v>Debi2024-174</x:v>
      </x:c>
      <x:c r="E57" t="str">
        <x:v>Debi2024-174</x:v>
      </x:c>
      <x:c r="F57" t="str">
        <x:v>Anna Herzog</x:v>
      </x:c>
      <x:c r="G57" s="6" t="n">
        <x:v>16400</x:v>
      </x:c>
      <x:c r="H57" s="6" t="n">
        <x:v>0</x:v>
      </x:c>
      <x:c r="I57" s="6" t="n">
        <x:f>G57-H57</x:f>
        <x:v>16400</x:v>
      </x:c>
      <x:c r="J57" t="str">
        <x:v>20240101_8636</x:v>
      </x:c>
    </x:row>
    <x:row r="58">
      <x:c r="A58" t="n">
        <x:v>275</x:v>
      </x:c>
      <x:c r="B58" t="n">
        <x:v>10068</x:v>
      </x:c>
      <x:c r="C58" s="8" t="n">
        <x:v>45429.5</x:v>
      </x:c>
      <x:c r="D58" t="str">
        <x:v>Debi2024-209</x:v>
      </x:c>
      <x:c r="E58" t="str">
        <x:v>Debi2024-209</x:v>
      </x:c>
      <x:c r="F58" t="str">
        <x:v>Anna Herzog</x:v>
      </x:c>
      <x:c r="G58" s="6" t="n">
        <x:v>1400</x:v>
      </x:c>
      <x:c r="H58" s="6" t="n">
        <x:v>0</x:v>
      </x:c>
      <x:c r="I58" s="6" t="n">
        <x:f>G58-H58</x:f>
        <x:v>1400</x:v>
      </x:c>
      <x:c r="J58" t="str">
        <x:v>20240101_8771</x:v>
      </x:c>
    </x:row>
    <x:row r="59">
      <x:c r="A59" t="n">
        <x:v>280</x:v>
      </x:c>
      <x:c r="B59" t="n">
        <x:v>10068</x:v>
      </x:c>
      <x:c r="C59" s="8" t="n">
        <x:v>45393.5</x:v>
      </x:c>
      <x:c r="D59" t="str">
        <x:v>Voba29/1</x:v>
      </x:c>
      <x:c r="E59" t="str">
        <x:v>Voba29/1</x:v>
      </x:c>
      <x:c r="F59" t="str">
        <x:v>Anna Herzog 2024-174</x:v>
      </x:c>
      <x:c r="G59" s="6" t="n">
        <x:v>0</x:v>
      </x:c>
      <x:c r="H59" s="6" t="n">
        <x:v>6560</x:v>
      </x:c>
      <x:c r="I59" s="6" t="n">
        <x:f>G59-H59</x:f>
        <x:v>-6560</x:v>
      </x:c>
      <x:c r="J59" t="str">
        <x:v>20240101_8667</x:v>
      </x:c>
    </x:row>
    <x:row r="60">
      <x:c r="A60" t="n">
        <x:v>281</x:v>
      </x:c>
      <x:c r="B60" t="n">
        <x:v>10068</x:v>
      </x:c>
      <x:c r="C60" s="8" t="n">
        <x:v>45460.5</x:v>
      </x:c>
      <x:c r="D60" t="str">
        <x:v>Voba46/2</x:v>
      </x:c>
      <x:c r="E60" t="str">
        <x:v>Voba46/2</x:v>
      </x:c>
      <x:c r="F60" t="str">
        <x:v>Anna Herzog 2024-209</x:v>
      </x:c>
      <x:c r="G60" s="6" t="n">
        <x:v>0</x:v>
      </x:c>
      <x:c r="H60" s="6" t="n">
        <x:v>280</x:v>
      </x:c>
      <x:c r="I60" s="6" t="n">
        <x:f>G60-H60</x:f>
        <x:v>-280</x:v>
      </x:c>
      <x:c r="J60" t="str">
        <x:v>20240101_8867</x:v>
      </x:c>
    </x:row>
    <x:row r="61">
      <x:c r="A61" t="n">
        <x:v>282</x:v>
      </x:c>
      <x:c r="B61" t="n">
        <x:v>10068</x:v>
      </x:c>
      <x:c r="C61" s="8" t="n">
        <x:v>45462.5</x:v>
      </x:c>
      <x:c r="D61" t="str">
        <x:v>Voba48/1</x:v>
      </x:c>
      <x:c r="E61" t="str">
        <x:v>Voba48/1</x:v>
      </x:c>
      <x:c r="F61" t="str">
        <x:v>Anna Herzog 2024-174</x:v>
      </x:c>
      <x:c r="G61" s="6" t="n">
        <x:v>0</x:v>
      </x:c>
      <x:c r="H61" s="6" t="n">
        <x:v>9840</x:v>
      </x:c>
      <x:c r="I61" s="6" t="n">
        <x:f>G61-H61</x:f>
        <x:v>-9840</x:v>
      </x:c>
      <x:c r="J61" t="str">
        <x:v>20240101_8880</x:v>
      </x:c>
    </x:row>
    <x:row r="62">
      <x:c r="A62" t="n">
        <x:v>368</x:v>
      </x:c>
      <x:c r="B62" t="n">
        <x:v>10069</x:v>
      </x:c>
      <x:c r="C62" s="8" t="n">
        <x:v>45293.5</x:v>
      </x:c>
      <x:c r="D62" t="str">
        <x:v>Voba1/2</x:v>
      </x:c>
      <x:c r="E62" t="str">
        <x:v>Voba1/2</x:v>
      </x:c>
      <x:c r="F62" t="str">
        <x:v>Hannah Sauerbier 2023-421</x:v>
      </x:c>
      <x:c r="G62" s="6" t="n">
        <x:v>0</x:v>
      </x:c>
      <x:c r="H62" s="6" t="n">
        <x:v>345</x:v>
      </x:c>
      <x:c r="I62" s="6" t="n">
        <x:f>G62-H62</x:f>
        <x:v>-345</x:v>
      </x:c>
      <x:c r="J62" t="str">
        <x:v>20240101_8228</x:v>
      </x:c>
    </x:row>
    <x:row r="63">
      <x:c r="A63" t="n">
        <x:v>369</x:v>
      </x:c>
      <x:c r="B63" t="n">
        <x:v>10069</x:v>
      </x:c>
      <x:c r="C63" s="8" t="n">
        <x:v>45348.5</x:v>
      </x:c>
      <x:c r="D63" t="str">
        <x:v>Voba14/2</x:v>
      </x:c>
      <x:c r="E63" t="str">
        <x:v>Voba14/2</x:v>
      </x:c>
      <x:c r="F63" t="str">
        <x:v>Kathrin David 2024-103</x:v>
      </x:c>
      <x:c r="G63" s="6" t="n">
        <x:v>200</x:v>
      </x:c>
      <x:c r="H63" s="6" t="n">
        <x:v>0</x:v>
      </x:c>
      <x:c r="I63" s="6" t="n">
        <x:f>G63-H63</x:f>
        <x:v>200</x:v>
      </x:c>
      <x:c r="J63" t="str">
        <x:v>20240101_8478</x:v>
      </x:c>
    </x:row>
    <x:row r="64">
      <x:c r="A64" t="n">
        <x:v>370</x:v>
      </x:c>
      <x:c r="B64" t="n">
        <x:v>10069</x:v>
      </x:c>
      <x:c r="C64" s="8" t="n">
        <x:v>45296.5</x:v>
      </x:c>
      <x:c r="D64" t="str">
        <x:v>Voba2/1</x:v>
      </x:c>
      <x:c r="E64" t="str">
        <x:v>Voba2/1</x:v>
      </x:c>
      <x:c r="F64" t="str">
        <x:v>Bradley Sledz 2023-419</x:v>
      </x:c>
      <x:c r="G64" s="6" t="n">
        <x:v>0</x:v>
      </x:c>
      <x:c r="H64" s="6" t="n">
        <x:v>475</x:v>
      </x:c>
      <x:c r="I64" s="6" t="n">
        <x:f>G64-H64</x:f>
        <x:v>-475</x:v>
      </x:c>
      <x:c r="J64" t="str">
        <x:v>20240101_8246</x:v>
      </x:c>
    </x:row>
    <x:row r="65">
      <x:c r="A65" t="n">
        <x:v>371</x:v>
      </x:c>
      <x:c r="B65" t="n">
        <x:v>10069</x:v>
      </x:c>
      <x:c r="C65" s="8" t="n">
        <x:v>45317.5</x:v>
      </x:c>
      <x:c r="D65" t="str">
        <x:v>Voba8/1</x:v>
      </x:c>
      <x:c r="E65" t="str">
        <x:v>Voba8/1</x:v>
      </x:c>
      <x:c r="F65" t="str">
        <x:v>Ramona Blaser 2023-420</x:v>
      </x:c>
      <x:c r="G65" s="6" t="n">
        <x:v>0</x:v>
      </x:c>
      <x:c r="H65" s="6" t="n">
        <x:v>737</x:v>
      </x:c>
      <x:c r="I65" s="6" t="n">
        <x:f>G65-H65</x:f>
        <x:v>-737</x:v>
      </x:c>
      <x:c r="J65" t="str">
        <x:v>20240101_8335</x:v>
      </x:c>
    </x:row>
    <x:row r="66">
      <x:c r="A66" t="n">
        <x:v>376</x:v>
      </x:c>
      <x:c r="B66" t="n">
        <x:v>10071</x:v>
      </x:c>
      <x:c r="C66" s="8" t="n">
        <x:v>45378.5</x:v>
      </x:c>
      <x:c r="D66" t="str">
        <x:v>Debi2024-175</x:v>
      </x:c>
      <x:c r="E66" t="str">
        <x:v>Debi2024-175</x:v>
      </x:c>
      <x:c r="F66" t="str">
        <x:v>Jara Maier</x:v>
      </x:c>
      <x:c r="G66" s="6" t="n">
        <x:v>10845</x:v>
      </x:c>
      <x:c r="H66" s="6" t="n">
        <x:v>0</x:v>
      </x:c>
      <x:c r="I66" s="6" t="n">
        <x:f>G66-H66</x:f>
        <x:v>10845</x:v>
      </x:c>
      <x:c r="J66" t="str">
        <x:v>20240101_8637</x:v>
      </x:c>
    </x:row>
    <x:row r="67">
      <x:c r="A67" t="n">
        <x:v>377</x:v>
      </x:c>
      <x:c r="B67" t="n">
        <x:v>10071</x:v>
      </x:c>
      <x:c r="C67" s="8" t="n">
        <x:v>45496.5</x:v>
      </x:c>
      <x:c r="D67" t="str">
        <x:v>Debi2024-259</x:v>
      </x:c>
      <x:c r="E67" t="str">
        <x:v>Debi2024-259</x:v>
      </x:c>
      <x:c r="F67" t="str">
        <x:v>Jara Maier</x:v>
      </x:c>
      <x:c r="G67" s="6" t="n">
        <x:v>680</x:v>
      </x:c>
      <x:c r="H67" s="6" t="n">
        <x:v>0</x:v>
      </x:c>
      <x:c r="I67" s="6" t="n">
        <x:f>G67-H67</x:f>
        <x:v>680</x:v>
      </x:c>
      <x:c r="J67" t="str">
        <x:v>20240101_9001</x:v>
      </x:c>
    </x:row>
    <x:row r="68">
      <x:c r="A68" t="n">
        <x:v>378</x:v>
      </x:c>
      <x:c r="B68" t="n">
        <x:v>10071</x:v>
      </x:c>
      <x:c r="C68" s="8" t="n">
        <x:v>45419.5</x:v>
      </x:c>
      <x:c r="D68" t="str">
        <x:v>Voba37/1</x:v>
      </x:c>
      <x:c r="E68" t="str">
        <x:v>Voba37/1</x:v>
      </x:c>
      <x:c r="F68" t="str">
        <x:v>Jara Maier 2024-175</x:v>
      </x:c>
      <x:c r="G68" s="6" t="n">
        <x:v>0</x:v>
      </x:c>
      <x:c r="H68" s="6" t="n">
        <x:v>4640</x:v>
      </x:c>
      <x:c r="I68" s="6" t="n">
        <x:f>G68-H68</x:f>
        <x:v>-4640</x:v>
      </x:c>
      <x:c r="J68" t="str">
        <x:v>20240101_8751</x:v>
      </x:c>
    </x:row>
    <x:row r="69">
      <x:c r="A69" t="n">
        <x:v>381</x:v>
      </x:c>
      <x:c r="B69" t="n">
        <x:v>10072</x:v>
      </x:c>
      <x:c r="C69" s="8" t="n">
        <x:v>45378.5</x:v>
      </x:c>
      <x:c r="D69" t="str">
        <x:v>Debi2024-176</x:v>
      </x:c>
      <x:c r="E69" t="str">
        <x:v>Debi2024-176</x:v>
      </x:c>
      <x:c r="F69" t="str">
        <x:v>Carla Frey</x:v>
      </x:c>
      <x:c r="G69" s="6" t="n">
        <x:v>11600</x:v>
      </x:c>
      <x:c r="H69" s="6" t="n">
        <x:v>0</x:v>
      </x:c>
      <x:c r="I69" s="6" t="n">
        <x:f>G69-H69</x:f>
        <x:v>11600</x:v>
      </x:c>
      <x:c r="J69" t="str">
        <x:v>20240101_8638</x:v>
      </x:c>
    </x:row>
    <x:row r="70">
      <x:c r="A70" t="n">
        <x:v>382</x:v>
      </x:c>
      <x:c r="B70" t="n">
        <x:v>10072</x:v>
      </x:c>
      <x:c r="C70" s="8" t="n">
        <x:v>45510.5</x:v>
      </x:c>
      <x:c r="D70" t="str">
        <x:v>Debi2024-276</x:v>
      </x:c>
      <x:c r="E70" t="str">
        <x:v>Debi2024-276</x:v>
      </x:c>
      <x:c r="F70" t="str">
        <x:v>Carla Frey</x:v>
      </x:c>
      <x:c r="G70" s="6" t="n">
        <x:v>1140</x:v>
      </x:c>
      <x:c r="H70" s="6" t="n">
        <x:v>0</x:v>
      </x:c>
      <x:c r="I70" s="6" t="n">
        <x:f>G70-H70</x:f>
        <x:v>1140</x:v>
      </x:c>
      <x:c r="J70" t="str">
        <x:v>20240101_9076</x:v>
      </x:c>
    </x:row>
    <x:row r="71">
      <x:c r="A71" t="n">
        <x:v>383</x:v>
      </x:c>
      <x:c r="B71" t="n">
        <x:v>10072</x:v>
      </x:c>
      <x:c r="C71" s="8" t="n">
        <x:v>45600.5</x:v>
      </x:c>
      <x:c r="D71" t="str">
        <x:v>Debi2024-331</x:v>
      </x:c>
      <x:c r="E71" t="str">
        <x:v>Debi2024-331</x:v>
      </x:c>
      <x:c r="F71" t="str">
        <x:v>Carla Frey</x:v>
      </x:c>
      <x:c r="G71" s="6" t="n">
        <x:v>380</x:v>
      </x:c>
      <x:c r="H71" s="6" t="n">
        <x:v>0</x:v>
      </x:c>
      <x:c r="I71" s="6" t="n">
        <x:f>G71-H71</x:f>
        <x:v>380</x:v>
      </x:c>
      <x:c r="J71" t="str">
        <x:v>20240101_9387</x:v>
      </x:c>
    </x:row>
    <x:row r="72">
      <x:c r="A72" t="n">
        <x:v>384</x:v>
      </x:c>
      <x:c r="B72" t="n">
        <x:v>10072</x:v>
      </x:c>
      <x:c r="C72" s="8" t="n">
        <x:v>45401.5</x:v>
      </x:c>
      <x:c r="D72" t="str">
        <x:v>Voba31/1</x:v>
      </x:c>
      <x:c r="E72" t="str">
        <x:v>Voba31/1</x:v>
      </x:c>
      <x:c r="F72" t="str">
        <x:v>Carla Frey 2024-176</x:v>
      </x:c>
      <x:c r="G72" s="6" t="n">
        <x:v>0</x:v>
      </x:c>
      <x:c r="H72" s="6" t="n">
        <x:v>4640</x:v>
      </x:c>
      <x:c r="I72" s="6" t="n">
        <x:f>G72-H72</x:f>
        <x:v>-4640</x:v>
      </x:c>
      <x:c r="J72" t="str">
        <x:v>20240101_8685</x:v>
      </x:c>
    </x:row>
    <x:row r="73">
      <x:c r="A73" t="n">
        <x:v>408</x:v>
      </x:c>
      <x:c r="B73" t="n">
        <x:v>10080</x:v>
      </x:c>
      <x:c r="C73" s="8" t="n">
        <x:v>45401.5</x:v>
      </x:c>
      <x:c r="D73" t="str">
        <x:v>Debi2024-184</x:v>
      </x:c>
      <x:c r="E73" t="str">
        <x:v>Debi2024-184</x:v>
      </x:c>
      <x:c r="F73" t="str">
        <x:v>Vivien Ullrich</x:v>
      </x:c>
      <x:c r="G73" s="6" t="n">
        <x:v>2040</x:v>
      </x:c>
      <x:c r="H73" s="6" t="n">
        <x:v>0</x:v>
      </x:c>
      <x:c r="I73" s="6" t="n">
        <x:f>G73-H73</x:f>
        <x:v>2040</x:v>
      </x:c>
      <x:c r="J73" t="str">
        <x:v>20240101_8681</x:v>
      </x:c>
    </x:row>
    <x:row r="74">
      <x:c r="A74" t="n">
        <x:v>409</x:v>
      </x:c>
      <x:c r="B74" t="n">
        <x:v>10080</x:v>
      </x:c>
      <x:c r="C74" s="8" t="n">
        <x:v>45404.5</x:v>
      </x:c>
      <x:c r="D74" t="str">
        <x:v>Voba31/1</x:v>
      </x:c>
      <x:c r="E74" t="str">
        <x:v>Voba31/1</x:v>
      </x:c>
      <x:c r="F74" t="str">
        <x:v>Vivien Ullrich 2024-184</x:v>
      </x:c>
      <x:c r="G74" s="6" t="n">
        <x:v>0</x:v>
      </x:c>
      <x:c r="H74" s="6" t="n">
        <x:v>408</x:v>
      </x:c>
      <x:c r="I74" s="6" t="n">
        <x:f>G74-H74</x:f>
        <x:v>-408</x:v>
      </x:c>
      <x:c r="J74" t="str">
        <x:v>20240101_8691</x:v>
      </x:c>
    </x:row>
    <x:row r="75">
      <x:c r="A75" t="n">
        <x:v>410</x:v>
      </x:c>
      <x:c r="B75" t="n">
        <x:v>10081</x:v>
      </x:c>
      <x:c r="C75" s="8" t="n">
        <x:v>45405.5</x:v>
      </x:c>
      <x:c r="D75" t="str">
        <x:v>Debi2024-186</x:v>
      </x:c>
      <x:c r="E75" t="str">
        <x:v>Debi2024-186</x:v>
      </x:c>
      <x:c r="F75" t="str">
        <x:v>Albane Pessemesse</x:v>
      </x:c>
      <x:c r="G75" s="6" t="n">
        <x:v>970</x:v>
      </x:c>
      <x:c r="H75" s="6" t="n">
        <x:v>0</x:v>
      </x:c>
      <x:c r="I75" s="6" t="n">
        <x:f>G75-H75</x:f>
        <x:v>970</x:v>
      </x:c>
      <x:c r="J75" t="str">
        <x:v>20240101_8693</x:v>
      </x:c>
    </x:row>
    <x:row r="76">
      <x:c r="A76" t="n">
        <x:v>411</x:v>
      </x:c>
      <x:c r="B76" t="n">
        <x:v>10081</x:v>
      </x:c>
      <x:c r="C76" s="8" t="n">
        <x:v>45408.5</x:v>
      </x:c>
      <x:c r="D76" t="str">
        <x:v>Voba33/2</x:v>
      </x:c>
      <x:c r="E76" t="str">
        <x:v>Voba33/2</x:v>
      </x:c>
      <x:c r="F76" t="str">
        <x:v>Pessemesse Albane 2024-186</x:v>
      </x:c>
      <x:c r="G76" s="6" t="n">
        <x:v>0</x:v>
      </x:c>
      <x:c r="H76" s="6" t="n">
        <x:v>182</x:v>
      </x:c>
      <x:c r="I76" s="6" t="n">
        <x:f>G76-H76</x:f>
        <x:v>-182</x:v>
      </x:c>
      <x:c r="J76" t="str">
        <x:v>20240101_8712</x:v>
      </x:c>
    </x:row>
    <x:row r="77">
      <x:c r="A77" t="n">
        <x:v>414</x:v>
      </x:c>
      <x:c r="B77" t="n">
        <x:v>10083</x:v>
      </x:c>
      <x:c r="C77" s="8" t="n">
        <x:v>45402.5</x:v>
      </x:c>
      <x:c r="D77" t="str">
        <x:v>Debi2024-188</x:v>
      </x:c>
      <x:c r="E77" t="str">
        <x:v>Debi2024-188</x:v>
      </x:c>
      <x:c r="F77" t="str">
        <x:v>Alis Sherrington</x:v>
      </x:c>
      <x:c r="G77" s="6" t="n">
        <x:v>731.2</x:v>
      </x:c>
      <x:c r="H77" s="6" t="n">
        <x:v>0</x:v>
      </x:c>
      <x:c r="I77" s="6" t="n">
        <x:f>G77-H77</x:f>
        <x:v>731.2</x:v>
      </x:c>
      <x:c r="J77" t="str">
        <x:v>20240101_8688</x:v>
      </x:c>
    </x:row>
    <x:row r="78">
      <x:c r="A78" t="n">
        <x:v>415</x:v>
      </x:c>
      <x:c r="B78" t="n">
        <x:v>10083</x:v>
      </x:c>
      <x:c r="C78" s="8" t="n">
        <x:v>45411.5</x:v>
      </x:c>
      <x:c r="D78" t="str">
        <x:v>Voba35/1</x:v>
      </x:c>
      <x:c r="E78" t="str">
        <x:v>Voba35/1</x:v>
      </x:c>
      <x:c r="F78" t="str">
        <x:v>Alis Sherrinton 2024-188</x:v>
      </x:c>
      <x:c r="G78" s="6" t="n">
        <x:v>0</x:v>
      </x:c>
      <x:c r="H78" s="6" t="n">
        <x:v>67.21</x:v>
      </x:c>
      <x:c r="I78" s="6" t="n">
        <x:f>G78-H78</x:f>
        <x:v>-67.21</x:v>
      </x:c>
      <x:c r="J78" t="str">
        <x:v>20240101_8720</x:v>
      </x:c>
    </x:row>
    <x:row r="79">
      <x:c r="A79" t="n">
        <x:v>419</x:v>
      </x:c>
      <x:c r="B79" t="n">
        <x:v>10085</x:v>
      </x:c>
      <x:c r="C79" s="8" t="n">
        <x:v>45554.5</x:v>
      </x:c>
      <x:c r="D79" t="str">
        <x:v>2024-298</x:v>
      </x:c>
      <x:c r="E79" t="str">
        <x:v>2024-298</x:v>
      </x:c>
      <x:c r="F79" t="str">
        <x:v>Luttmann Dorothea</x:v>
      </x:c>
      <x:c r="G79" s="6" t="n">
        <x:v>1343</x:v>
      </x:c>
      <x:c r="H79" s="6" t="n">
        <x:v>0</x:v>
      </x:c>
      <x:c r="I79" s="6" t="n">
        <x:f>G79-H79</x:f>
        <x:v>1343</x:v>
      </x:c>
      <x:c r="J79" t="str">
        <x:v>20240101_9725</x:v>
      </x:c>
    </x:row>
    <x:row r="80">
      <x:c r="A80" t="n">
        <x:v>420</x:v>
      </x:c>
      <x:c r="B80" t="n">
        <x:v>10085</x:v>
      </x:c>
      <x:c r="C80" s="8" t="n">
        <x:v>45405.5</x:v>
      </x:c>
      <x:c r="D80" t="str">
        <x:v>Debi2024-190</x:v>
      </x:c>
      <x:c r="E80" t="str">
        <x:v>Debi2024-190</x:v>
      </x:c>
      <x:c r="F80" t="str">
        <x:v>Dorothea Luttmann</x:v>
      </x:c>
      <x:c r="G80" s="6" t="n">
        <x:v>3580</x:v>
      </x:c>
      <x:c r="H80" s="6" t="n">
        <x:v>0</x:v>
      </x:c>
      <x:c r="I80" s="6" t="n">
        <x:f>G80-H80</x:f>
        <x:v>3580</x:v>
      </x:c>
      <x:c r="J80" t="str">
        <x:v>20240101_8695</x:v>
      </x:c>
    </x:row>
    <x:row r="81">
      <x:c r="A81" t="n">
        <x:v>421</x:v>
      </x:c>
      <x:c r="B81" t="n">
        <x:v>10085</x:v>
      </x:c>
      <x:c r="C81" s="8" t="n">
        <x:v>45405.5</x:v>
      </x:c>
      <x:c r="D81" t="str">
        <x:v>Debi2024-191</x:v>
      </x:c>
      <x:c r="E81" t="str">
        <x:v>Debi2024-191</x:v>
      </x:c>
      <x:c r="F81" t="str">
        <x:v>Dorothea Luttmann</x:v>
      </x:c>
      <x:c r="G81" s="6" t="n">
        <x:v>1100</x:v>
      </x:c>
      <x:c r="H81" s="6" t="n">
        <x:v>0</x:v>
      </x:c>
      <x:c r="I81" s="6" t="n">
        <x:f>G81-H81</x:f>
        <x:v>1100</x:v>
      </x:c>
      <x:c r="J81" t="str">
        <x:v>20240101_8696</x:v>
      </x:c>
    </x:row>
    <x:row r="82">
      <x:c r="A82" t="n">
        <x:v>422</x:v>
      </x:c>
      <x:c r="B82" t="n">
        <x:v>10085</x:v>
      </x:c>
      <x:c r="C82" s="8" t="n">
        <x:v>45411.5</x:v>
      </x:c>
      <x:c r="D82" t="str">
        <x:v>Voba35/1</x:v>
      </x:c>
      <x:c r="E82" t="str">
        <x:v>Voba35/1</x:v>
      </x:c>
      <x:c r="F82" t="str">
        <x:v>Luttmann Dorothea 2024-190/191</x:v>
      </x:c>
      <x:c r="G82" s="6" t="n">
        <x:v>0</x:v>
      </x:c>
      <x:c r="H82" s="6" t="n">
        <x:v>222</x:v>
      </x:c>
      <x:c r="I82" s="6" t="n">
        <x:f>G82-H82</x:f>
        <x:v>-222</x:v>
      </x:c>
      <x:c r="J82" t="str">
        <x:v>20240101_8718</x:v>
      </x:c>
    </x:row>
    <x:row r="83">
      <x:c r="A83" t="n">
        <x:v>423</x:v>
      </x:c>
      <x:c r="B83" t="n">
        <x:v>10085</x:v>
      </x:c>
      <x:c r="C83" s="8" t="n">
        <x:v>45411.5</x:v>
      </x:c>
      <x:c r="D83" t="str">
        <x:v>Voba35/1</x:v>
      </x:c>
      <x:c r="E83" t="str">
        <x:v>Voba35/1</x:v>
      </x:c>
      <x:c r="F83" t="str">
        <x:v>Dorothea Luttmann 2024-191</x:v>
      </x:c>
      <x:c r="G83" s="6" t="n">
        <x:v>0</x:v>
      </x:c>
      <x:c r="H83" s="6" t="n">
        <x:v>716</x:v>
      </x:c>
      <x:c r="I83" s="6" t="n">
        <x:f>G83-H83</x:f>
        <x:v>-716</x:v>
      </x:c>
      <x:c r="J83" t="str">
        <x:v>20240101_8719</x:v>
      </x:c>
    </x:row>
    <x:row r="84">
      <x:c r="A84" t="n">
        <x:v>424</x:v>
      </x:c>
      <x:c r="B84" t="n">
        <x:v>10085</x:v>
      </x:c>
      <x:c r="C84" s="8" t="n">
        <x:v>45530.5</x:v>
      </x:c>
      <x:c r="D84" t="str">
        <x:v>Voba70/1</x:v>
      </x:c>
      <x:c r="E84" t="str">
        <x:v>Voba70/1</x:v>
      </x:c>
      <x:c r="F84" t="str">
        <x:v>Dorothea Luttmann 2024-190</x:v>
      </x:c>
      <x:c r="G84" s="6" t="n">
        <x:v>0</x:v>
      </x:c>
      <x:c r="H84" s="6" t="n">
        <x:v>3752</x:v>
      </x:c>
      <x:c r="I84" s="6" t="n">
        <x:f>G84-H84</x:f>
        <x:v>-3752</x:v>
      </x:c>
      <x:c r="J84" t="str">
        <x:v>20240101_9143</x:v>
      </x:c>
    </x:row>
    <x:row r="85">
      <x:c r="A85" t="n">
        <x:v>431</x:v>
      </x:c>
      <x:c r="B85" t="n">
        <x:v>10087</x:v>
      </x:c>
      <x:c r="C85" s="8" t="n">
        <x:v>45408.5</x:v>
      </x:c>
      <x:c r="D85" t="str">
        <x:v>Debi2024-193</x:v>
      </x:c>
      <x:c r="E85" t="str">
        <x:v>Debi2024-193</x:v>
      </x:c>
      <x:c r="F85" t="str">
        <x:v>Carmen Kemmer</x:v>
      </x:c>
      <x:c r="G85" s="6" t="n">
        <x:v>523</x:v>
      </x:c>
      <x:c r="H85" s="6" t="n">
        <x:v>0</x:v>
      </x:c>
      <x:c r="I85" s="6" t="n">
        <x:f>G85-H85</x:f>
        <x:v>523</x:v>
      </x:c>
      <x:c r="J85" t="str">
        <x:v>20240101_8705</x:v>
      </x:c>
    </x:row>
    <x:row r="86">
      <x:c r="A86" t="n">
        <x:v>445</x:v>
      </x:c>
      <x:c r="B86" t="n">
        <x:v>10089</x:v>
      </x:c>
      <x:c r="C86" s="8" t="n">
        <x:v>45492.5</x:v>
      </x:c>
      <x:c r="D86" t="str">
        <x:v>Voba58/1</x:v>
      </x:c>
      <x:c r="E86" t="str">
        <x:v>Voba58/1</x:v>
      </x:c>
      <x:c r="F86" t="str">
        <x:v>Andrea Friedrich 2024-252</x:v>
      </x:c>
      <x:c r="G86" s="6" t="n">
        <x:v>0</x:v>
      </x:c>
      <x:c r="H86" s="6" t="n">
        <x:v>720</x:v>
      </x:c>
      <x:c r="I86" s="6" t="n">
        <x:f>G86-H86</x:f>
        <x:v>-720</x:v>
      </x:c>
      <x:c r="J86" t="str">
        <x:v>20240101_8993</x:v>
      </x:c>
    </x:row>
    <x:row r="87">
      <x:c r="A87" t="n">
        <x:v>460</x:v>
      </x:c>
      <x:c r="B87" t="n">
        <x:v>10092</x:v>
      </x:c>
      <x:c r="C87" s="8" t="n">
        <x:v>45538.5</x:v>
      </x:c>
      <x:c r="D87" t="str">
        <x:v>72/2</x:v>
      </x:c>
      <x:c r="E87" t="str">
        <x:v>72/2</x:v>
      </x:c>
      <x:c r="F87" t="str">
        <x:v>Fischer Stefan 2024-199</x:v>
      </x:c>
      <x:c r="G87" s="6" t="n">
        <x:v>0</x:v>
      </x:c>
      <x:c r="H87" s="6" t="n">
        <x:v>1171.2</x:v>
      </x:c>
      <x:c r="I87" s="6" t="n">
        <x:f>G87-H87</x:f>
        <x:v>-1171.2</x:v>
      </x:c>
      <x:c r="J87" t="str">
        <x:v>20240101_9711</x:v>
      </x:c>
    </x:row>
    <x:row r="88">
      <x:c r="A88" t="n">
        <x:v>477</x:v>
      </x:c>
      <x:c r="B88" t="n">
        <x:v>10095</x:v>
      </x:c>
      <x:c r="C88" s="8" t="n">
        <x:v>45416.5</x:v>
      </x:c>
      <x:c r="D88" t="str">
        <x:v>Debi2024-202</x:v>
      </x:c>
      <x:c r="E88" t="str">
        <x:v>Debi2024-202</x:v>
      </x:c>
      <x:c r="F88" t="str">
        <x:v>Jamie Cole</x:v>
      </x:c>
      <x:c r="G88" s="6" t="n">
        <x:v>1185</x:v>
      </x:c>
      <x:c r="H88" s="6" t="n">
        <x:v>0</x:v>
      </x:c>
      <x:c r="I88" s="6" t="n">
        <x:f>G88-H88</x:f>
        <x:v>1185</x:v>
      </x:c>
      <x:c r="J88" t="str">
        <x:v>20240101_8740</x:v>
      </x:c>
    </x:row>
    <x:row r="89">
      <x:c r="A89" t="n">
        <x:v>478</x:v>
      </x:c>
      <x:c r="B89" t="n">
        <x:v>10096</x:v>
      </x:c>
      <x:c r="C89" s="8" t="n">
        <x:v>45447.5</x:v>
      </x:c>
      <x:c r="D89" t="str">
        <x:v>2024223</x:v>
      </x:c>
      <x:c r="E89" t="str">
        <x:v>2024223</x:v>
      </x:c>
      <x:c r="F89" t="str">
        <x:v>Wette Lea</x:v>
      </x:c>
      <x:c r="G89" s="6" t="n">
        <x:v>2280</x:v>
      </x:c>
      <x:c r="H89" s="6" t="n">
        <x:v>0</x:v>
      </x:c>
      <x:c r="I89" s="6" t="n">
        <x:f>G89-H89</x:f>
        <x:v>2280</x:v>
      </x:c>
      <x:c r="J89" t="str">
        <x:v>20240101_9675</x:v>
      </x:c>
    </x:row>
    <x:row r="90">
      <x:c r="A90" t="n">
        <x:v>479</x:v>
      </x:c>
      <x:c r="B90" t="n">
        <x:v>10096</x:v>
      </x:c>
      <x:c r="C90" s="8" t="n">
        <x:v>45553.5</x:v>
      </x:c>
      <x:c r="D90" t="str">
        <x:v>2024-223a</x:v>
      </x:c>
      <x:c r="E90" t="str">
        <x:v>2024-223a</x:v>
      </x:c>
      <x:c r="F90" t="str">
        <x:v>Wette Lia extra Tage</x:v>
      </x:c>
      <x:c r="G90" s="6" t="n">
        <x:v>90</x:v>
      </x:c>
      <x:c r="H90" s="6" t="n">
        <x:v>0</x:v>
      </x:c>
      <x:c r="I90" s="6" t="n">
        <x:f>G90-H90</x:f>
        <x:v>90</x:v>
      </x:c>
      <x:c r="J90" t="str">
        <x:v>20240101_9724</x:v>
      </x:c>
    </x:row>
    <x:row r="91">
      <x:c r="A91" t="n">
        <x:v>482</x:v>
      </x:c>
      <x:c r="B91" t="n">
        <x:v>10096</x:v>
      </x:c>
      <x:c r="C91" s="8" t="n">
        <x:v>45449.5</x:v>
      </x:c>
      <x:c r="D91" t="str">
        <x:v>Debi2024-203-1</x:v>
      </x:c>
      <x:c r="E91" t="str">
        <x:v>Debi2024-203-1</x:v>
      </x:c>
      <x:c r="F91" t="str">
        <x:v>Lea Wette</x:v>
      </x:c>
      <x:c r="G91" s="6" t="n">
        <x:v>2600</x:v>
      </x:c>
      <x:c r="H91" s="6" t="n">
        <x:v>0</x:v>
      </x:c>
      <x:c r="I91" s="6" t="n">
        <x:f>G91-H91</x:f>
        <x:v>2600</x:v>
      </x:c>
      <x:c r="J91" t="str">
        <x:v>20240101_8841</x:v>
      </x:c>
    </x:row>
    <x:row r="92">
      <x:c r="A92" t="n">
        <x:v>483</x:v>
      </x:c>
      <x:c r="B92" t="n">
        <x:v>10096</x:v>
      </x:c>
      <x:c r="C92" s="8" t="n">
        <x:v>45447.5</x:v>
      </x:c>
      <x:c r="D92" t="str">
        <x:v>Debi2024-223</x:v>
      </x:c>
      <x:c r="E92" t="str">
        <x:v>Debi2024-223</x:v>
      </x:c>
      <x:c r="F92" t="str">
        <x:v>Lea Wette</x:v>
      </x:c>
      <x:c r="G92" s="6" t="n">
        <x:v>2370</x:v>
      </x:c>
      <x:c r="H92" s="6" t="n">
        <x:v>0</x:v>
      </x:c>
      <x:c r="I92" s="6" t="n">
        <x:f>G92-H92</x:f>
        <x:v>2370</x:v>
      </x:c>
      <x:c r="J92" t="str">
        <x:v>20240101_8836</x:v>
      </x:c>
    </x:row>
    <x:row r="93">
      <x:c r="A93" t="n">
        <x:v>484</x:v>
      </x:c>
      <x:c r="B93" t="n">
        <x:v>10096</x:v>
      </x:c>
      <x:c r="C93" s="8" t="n">
        <x:v>45443.5</x:v>
      </x:c>
      <x:c r="D93" t="str">
        <x:v>Voba43/33</x:v>
      </x:c>
      <x:c r="E93" t="str">
        <x:v>Voba43/33</x:v>
      </x:c>
      <x:c r="F93" t="str">
        <x:v>Lea Wette 2024-203</x:v>
      </x:c>
      <x:c r="G93" s="6" t="n">
        <x:v>0</x:v>
      </x:c>
      <x:c r="H93" s="6" t="n">
        <x:v>502</x:v>
      </x:c>
      <x:c r="I93" s="6" t="n">
        <x:f>G93-H93</x:f>
        <x:v>-502</x:v>
      </x:c>
      <x:c r="J93" t="str">
        <x:v>20240101_8815</x:v>
      </x:c>
    </x:row>
    <x:row r="94">
      <x:c r="A94" t="n">
        <x:v>485</x:v>
      </x:c>
      <x:c r="B94" t="n">
        <x:v>10096</x:v>
      </x:c>
      <x:c r="C94" s="8" t="n">
        <x:v>45460.5</x:v>
      </x:c>
      <x:c r="D94" t="str">
        <x:v>Voba46/4</x:v>
      </x:c>
      <x:c r="E94" t="str">
        <x:v>Voba46/4</x:v>
      </x:c>
      <x:c r="F94" t="str">
        <x:v>Lea Wette 2024-223</x:v>
      </x:c>
      <x:c r="G94" s="6" t="n">
        <x:v>0</x:v>
      </x:c>
      <x:c r="H94" s="6" t="n">
        <x:v>456</x:v>
      </x:c>
      <x:c r="I94" s="6" t="n">
        <x:f>G94-H94</x:f>
        <x:v>-456</x:v>
      </x:c>
      <x:c r="J94" t="str">
        <x:v>20240101_8868</x:v>
      </x:c>
    </x:row>
    <x:row r="95">
      <x:c r="A95" t="n">
        <x:v>486</x:v>
      </x:c>
      <x:c r="B95" t="n">
        <x:v>10096</x:v>
      </x:c>
      <x:c r="C95" s="8" t="n">
        <x:v>45537.5</x:v>
      </x:c>
      <x:c r="D95" t="str">
        <x:v>Voba72/2</x:v>
      </x:c>
      <x:c r="E95" t="str">
        <x:v>Voba72/2</x:v>
      </x:c>
      <x:c r="F95" t="str">
        <x:v>Lea Wette 2024-223</x:v>
      </x:c>
      <x:c r="G95" s="6" t="n">
        <x:v>0</x:v>
      </x:c>
      <x:c r="H95" s="6" t="n">
        <x:v>1824</x:v>
      </x:c>
      <x:c r="I95" s="6" t="n">
        <x:f>G95-H95</x:f>
        <x:v>-1824</x:v>
      </x:c>
      <x:c r="J95" t="str">
        <x:v>20240101_9168</x:v>
      </x:c>
    </x:row>
    <x:row r="96">
      <x:c r="A96" t="n">
        <x:v>487</x:v>
      </x:c>
      <x:c r="B96" t="n">
        <x:v>10096</x:v>
      </x:c>
      <x:c r="C96" s="8" t="n">
        <x:v>45537.5</x:v>
      </x:c>
      <x:c r="D96" t="str">
        <x:v>Voba72/2</x:v>
      </x:c>
      <x:c r="E96" t="str">
        <x:v>Voba72/2</x:v>
      </x:c>
      <x:c r="F96" t="str">
        <x:v>Lea Wette 2024-203</x:v>
      </x:c>
      <x:c r="G96" s="6" t="n">
        <x:v>0</x:v>
      </x:c>
      <x:c r="H96" s="6" t="n">
        <x:v>2098</x:v>
      </x:c>
      <x:c r="I96" s="6" t="n">
        <x:f>G96-H96</x:f>
        <x:v>-2098</x:v>
      </x:c>
      <x:c r="J96" t="str">
        <x:v>20240101_9169</x:v>
      </x:c>
    </x:row>
    <x:row r="97">
      <x:c r="A97" t="n">
        <x:v>506</x:v>
      </x:c>
      <x:c r="B97" t="n">
        <x:v>10100</x:v>
      </x:c>
      <x:c r="C97" s="8" t="n">
        <x:v>44927.5</x:v>
      </x:c>
      <x:c r="D97" t="str">
        <x:v>30</x:v>
      </x:c>
      <x:c r="E97" t="str">
        <x:v>30</x:v>
      </x:c>
      <x:c r="F97" t="str">
        <x:v>bayha</x:v>
      </x:c>
      <x:c r="G97" s="6" t="n">
        <x:v>0</x:v>
      </x:c>
      <x:c r="H97" s="6" t="n">
        <x:v>3079</x:v>
      </x:c>
      <x:c r="I97" s="6" t="n">
        <x:f>G97-H97</x:f>
        <x:v>-3079</x:v>
      </x:c>
      <x:c r="J97" t="str">
        <x:v>20230101_2438</x:v>
      </x:c>
    </x:row>
    <x:row r="98">
      <x:c r="A98" t="n">
        <x:v>507</x:v>
      </x:c>
      <x:c r="B98" t="n">
        <x:v>10100</x:v>
      </x:c>
      <x:c r="C98" s="8" t="n">
        <x:v>44927.5</x:v>
      </x:c>
      <x:c r="D98" t="str">
        <x:v>84</x:v>
      </x:c>
      <x:c r="E98" t="str">
        <x:v>84</x:v>
      </x:c>
      <x:c r="F98" t="str">
        <x:v>bernardi</x:v>
      </x:c>
      <x:c r="G98" s="6" t="n">
        <x:v>0</x:v>
      </x:c>
      <x:c r="H98" s="6" t="n">
        <x:v>765</x:v>
      </x:c>
      <x:c r="I98" s="6" t="n">
        <x:f>G98-H98</x:f>
        <x:v>-765</x:v>
      </x:c>
      <x:c r="J98" t="str">
        <x:v>20230101_2439</x:v>
      </x:c>
    </x:row>
    <x:row r="99">
      <x:c r="A99" t="n">
        <x:v>508</x:v>
      </x:c>
      <x:c r="B99" t="n">
        <x:v>10100</x:v>
      </x:c>
      <x:c r="C99" s="8" t="n">
        <x:v>44970.5</x:v>
      </x:c>
      <x:c r="D99" t="str">
        <x:v>137</x:v>
      </x:c>
      <x:c r="E99" t="str">
        <x:v>137</x:v>
      </x:c>
      <x:c r="F99" t="str">
        <x:v>blissett costa rica</x:v>
      </x:c>
      <x:c r="G99" s="6" t="n">
        <x:v>812.6</x:v>
      </x:c>
      <x:c r="H99" s="6" t="n">
        <x:v>0</x:v>
      </x:c>
      <x:c r="I99" s="6" t="n">
        <x:f>G99-H99</x:f>
        <x:v>812.6</x:v>
      </x:c>
      <x:c r="J99" t="str">
        <x:v>20230101_2563</x:v>
      </x:c>
    </x:row>
    <x:row r="100">
      <x:c r="A100" t="n">
        <x:v>509</x:v>
      </x:c>
      <x:c r="B100" t="n">
        <x:v>10100</x:v>
      </x:c>
      <x:c r="C100" s="8" t="n">
        <x:v>45000.5</x:v>
      </x:c>
      <x:c r="D100" t="str">
        <x:v>200</x:v>
      </x:c>
      <x:c r="E100" t="str">
        <x:v>200</x:v>
      </x:c>
      <x:c r="F100" t="str">
        <x:v>Brandmann, Mexiko</x:v>
      </x:c>
      <x:c r="G100" s="6" t="n">
        <x:v>1520</x:v>
      </x:c>
      <x:c r="H100" s="6" t="n">
        <x:v>0</x:v>
      </x:c>
      <x:c r="I100" s="6" t="n">
        <x:f>G100-H100</x:f>
        <x:v>1520</x:v>
      </x:c>
      <x:c r="J100" t="str">
        <x:v>20230101_2687</x:v>
      </x:c>
    </x:row>
    <x:row r="101">
      <x:c r="A101" t="n">
        <x:v>510</x:v>
      </x:c>
      <x:c r="B101" t="n">
        <x:v>10100</x:v>
      </x:c>
      <x:c r="C101" s="8" t="n">
        <x:v>45008.5</x:v>
      </x:c>
      <x:c r="D101" t="str">
        <x:v>208</x:v>
      </x:c>
      <x:c r="E101" t="str">
        <x:v>208</x:v>
      </x:c>
      <x:c r="F101" t="str">
        <x:v>Böhl, Costa Rica</x:v>
      </x:c>
      <x:c r="G101" s="6" t="n">
        <x:v>704</x:v>
      </x:c>
      <x:c r="H101" s="6" t="n">
        <x:v>0</x:v>
      </x:c>
      <x:c r="I101" s="6" t="n">
        <x:f>G101-H101</x:f>
        <x:v>704</x:v>
      </x:c>
      <x:c r="J101" t="str">
        <x:v>20230101_2716</x:v>
      </x:c>
    </x:row>
    <x:row r="102">
      <x:c r="A102" t="n">
        <x:v>511</x:v>
      </x:c>
      <x:c r="B102" t="n">
        <x:v>10100</x:v>
      </x:c>
      <x:c r="C102" s="8" t="n">
        <x:v>44927.5</x:v>
      </x:c>
      <x:c r="D102" t="str">
        <x:v>211</x:v>
      </x:c>
      <x:c r="E102" t="str">
        <x:v>211</x:v>
      </x:c>
      <x:c r="F102" t="str">
        <x:v>brömel</x:v>
      </x:c>
      <x:c r="G102" s="6" t="n">
        <x:v>0</x:v>
      </x:c>
      <x:c r="H102" s="6" t="n">
        <x:v>202</x:v>
      </x:c>
      <x:c r="I102" s="6" t="n">
        <x:f>G102-H102</x:f>
        <x:v>-202</x:v>
      </x:c>
      <x:c r="J102" t="str">
        <x:v>20230101_2440</x:v>
      </x:c>
    </x:row>
    <x:row r="103">
      <x:c r="A103" t="n">
        <x:v>512</x:v>
      </x:c>
      <x:c r="B103" t="n">
        <x:v>10100</x:v>
      </x:c>
      <x:c r="C103" s="8" t="n">
        <x:v>44927.5</x:v>
      </x:c>
      <x:c r="D103" t="str">
        <x:v>240</x:v>
      </x:c>
      <x:c r="E103" t="str">
        <x:v>240</x:v>
      </x:c>
      <x:c r="F103" t="str">
        <x:v>Vortragsaktualisierung</x:v>
      </x:c>
      <x:c r="G103" s="6" t="n">
        <x:v>11558</x:v>
      </x:c>
      <x:c r="H103" s="6" t="n">
        <x:v>0</x:v>
      </x:c>
      <x:c r="I103" s="6" t="n">
        <x:f>G103-H103</x:f>
        <x:v>11558</x:v>
      </x:c>
      <x:c r="J103" t="str">
        <x:v>20230101_2418</x:v>
      </x:c>
    </x:row>
    <x:row r="104">
      <x:c r="A104" t="n">
        <x:v>513</x:v>
      </x:c>
      <x:c r="B104" t="n">
        <x:v>10100</x:v>
      </x:c>
      <x:c r="C104" s="8" t="n">
        <x:v>45022.5</x:v>
      </x:c>
      <x:c r="D104" t="str">
        <x:v>2023%232</x:v>
      </x:c>
      <x:c r="E104" t="str">
        <x:v>2023%232</x:v>
      </x:c>
      <x:c r="F104" t="str">
        <x:v>Isabel Beaury</x:v>
      </x:c>
      <x:c r="G104" s="6" t="n">
        <x:v>2059</x:v>
      </x:c>
      <x:c r="H104" s="6" t="n">
        <x:v>0</x:v>
      </x:c>
      <x:c r="I104" s="6" t="n">
        <x:f>G104-H104</x:f>
        <x:v>2059</x:v>
      </x:c>
      <x:c r="J104" t="str">
        <x:v>20230101_3560</x:v>
      </x:c>
    </x:row>
    <x:row r="105">
      <x:c r="A105" t="n">
        <x:v>514</x:v>
      </x:c>
      <x:c r="B105" t="n">
        <x:v>10100</x:v>
      </x:c>
      <x:c r="C105" s="8" t="n">
        <x:v>45022.5</x:v>
      </x:c>
      <x:c r="D105" t="str">
        <x:v>2023%233</x:v>
      </x:c>
      <x:c r="E105" t="str">
        <x:v>2023%233</x:v>
      </x:c>
      <x:c r="F105" t="str">
        <x:v>Frau</x:v>
      </x:c>
      <x:c r="G105" s="6" t="n">
        <x:v>1080</x:v>
      </x:c>
      <x:c r="H105" s="6" t="n">
        <x:v>0</x:v>
      </x:c>
      <x:c r="I105" s="6" t="n">
        <x:f>G105-H105</x:f>
        <x:v>1080</x:v>
      </x:c>
      <x:c r="J105" t="str">
        <x:v>20230101_2779</x:v>
      </x:c>
    </x:row>
    <x:row r="106">
      <x:c r="A106" t="n">
        <x:v>515</x:v>
      </x:c>
      <x:c r="B106" t="n">
        <x:v>10100</x:v>
      </x:c>
      <x:c r="C106" s="8" t="n">
        <x:v>45030.5</x:v>
      </x:c>
      <x:c r="D106" t="str">
        <x:v>2023%245</x:v>
      </x:c>
      <x:c r="E106" t="str">
        <x:v>2023%245</x:v>
      </x:c>
      <x:c r="F106" t="str">
        <x:v>Emilia Bayer</x:v>
      </x:c>
      <x:c r="G106" s="6" t="n">
        <x:v>860</x:v>
      </x:c>
      <x:c r="H106" s="6" t="n">
        <x:v>0</x:v>
      </x:c>
      <x:c r="I106" s="6" t="n">
        <x:f>G106-H106</x:f>
        <x:v>860</x:v>
      </x:c>
      <x:c r="J106" t="str">
        <x:v>20230101_2822</x:v>
      </x:c>
    </x:row>
    <x:row r="107">
      <x:c r="A107" t="n">
        <x:v>516</x:v>
      </x:c>
      <x:c r="B107" t="n">
        <x:v>10100</x:v>
      </x:c>
      <x:c r="C107" s="8" t="n">
        <x:v>45036.5</x:v>
      </x:c>
      <x:c r="D107" t="str">
        <x:v>2023%254</x:v>
      </x:c>
      <x:c r="E107" t="str">
        <x:v>2023%254</x:v>
      </x:c>
      <x:c r="F107" t="str">
        <x:v>Ruby Bushby</x:v>
      </x:c>
      <x:c r="G107" s="6" t="n">
        <x:v>725</x:v>
      </x:c>
      <x:c r="H107" s="6" t="n">
        <x:v>0</x:v>
      </x:c>
      <x:c r="I107" s="6" t="n">
        <x:f>G107-H107</x:f>
        <x:v>725</x:v>
      </x:c>
      <x:c r="J107" t="str">
        <x:v>20230101_2859</x:v>
      </x:c>
    </x:row>
    <x:row r="108">
      <x:c r="A108" t="n">
        <x:v>517</x:v>
      </x:c>
      <x:c r="B108" t="n">
        <x:v>10100</x:v>
      </x:c>
      <x:c r="C108" s="8" t="n">
        <x:v>45041.5</x:v>
      </x:c>
      <x:c r="D108" t="str">
        <x:v>2023%259</x:v>
      </x:c>
      <x:c r="E108" t="str">
        <x:v>2023%259</x:v>
      </x:c>
      <x:c r="F108" t="str">
        <x:v>Eva Bezold</x:v>
      </x:c>
      <x:c r="G108" s="6" t="n">
        <x:v>590</x:v>
      </x:c>
      <x:c r="H108" s="6" t="n">
        <x:v>0</x:v>
      </x:c>
      <x:c r="I108" s="6" t="n">
        <x:f>G108-H108</x:f>
        <x:v>590</x:v>
      </x:c>
      <x:c r="J108" t="str">
        <x:v>20230101_2879</x:v>
      </x:c>
    </x:row>
    <x:row r="109">
      <x:c r="A109" t="n">
        <x:v>518</x:v>
      </x:c>
      <x:c r="B109" t="n">
        <x:v>10100</x:v>
      </x:c>
      <x:c r="C109" s="8" t="n">
        <x:v>45042.5</x:v>
      </x:c>
      <x:c r="D109" t="str">
        <x:v>2023%263</x:v>
      </x:c>
      <x:c r="E109" t="str">
        <x:v>2023%263</x:v>
      </x:c>
      <x:c r="F109" t="str">
        <x:v>David Brito</x:v>
      </x:c>
      <x:c r="G109" s="6" t="n">
        <x:v>2090</x:v>
      </x:c>
      <x:c r="H109" s="6" t="n">
        <x:v>0</x:v>
      </x:c>
      <x:c r="I109" s="6" t="n">
        <x:f>G109-H109</x:f>
        <x:v>2090</x:v>
      </x:c>
      <x:c r="J109" t="str">
        <x:v>20230101_2894</x:v>
      </x:c>
    </x:row>
    <x:row r="110">
      <x:c r="A110" t="n">
        <x:v>519</x:v>
      </x:c>
      <x:c r="B110" t="n">
        <x:v>10100</x:v>
      </x:c>
      <x:c r="C110" s="8" t="n">
        <x:v>45042.5</x:v>
      </x:c>
      <x:c r="D110" t="str">
        <x:v>2023%264</x:v>
      </x:c>
      <x:c r="E110" t="str">
        <x:v>2023%264</x:v>
      </x:c>
      <x:c r="F110" t="str">
        <x:v>Lisa Bath</x:v>
      </x:c>
      <x:c r="G110" s="6" t="n">
        <x:v>475</x:v>
      </x:c>
      <x:c r="H110" s="6" t="n">
        <x:v>0</x:v>
      </x:c>
      <x:c r="I110" s="6" t="n">
        <x:f>G110-H110</x:f>
        <x:v>475</x:v>
      </x:c>
      <x:c r="J110" t="str">
        <x:v>20230101_2892</x:v>
      </x:c>
    </x:row>
    <x:row r="111">
      <x:c r="A111" t="n">
        <x:v>520</x:v>
      </x:c>
      <x:c r="B111" t="n">
        <x:v>10100</x:v>
      </x:c>
      <x:c r="C111" s="8" t="n">
        <x:v>45071.5</x:v>
      </x:c>
      <x:c r="D111" t="str">
        <x:v>2023%287</x:v>
      </x:c>
      <x:c r="E111" t="str">
        <x:v>2023%287</x:v>
      </x:c>
      <x:c r="F111" t="str">
        <x:v>Owain Baker</x:v>
      </x:c>
      <x:c r="G111" s="6" t="n">
        <x:v>1600</x:v>
      </x:c>
      <x:c r="H111" s="6" t="n">
        <x:v>0</x:v>
      </x:c>
      <x:c r="I111" s="6" t="n">
        <x:f>G111-H111</x:f>
        <x:v>1600</x:v>
      </x:c>
      <x:c r="J111" t="str">
        <x:v>20230101_3012</x:v>
      </x:c>
    </x:row>
    <x:row r="112">
      <x:c r="A112" t="n">
        <x:v>521</x:v>
      </x:c>
      <x:c r="B112" t="n">
        <x:v>10100</x:v>
      </x:c>
      <x:c r="C112" s="8" t="n">
        <x:v>45096.5</x:v>
      </x:c>
      <x:c r="D112" t="str">
        <x:v>2023%309</x:v>
      </x:c>
      <x:c r="E112" t="str">
        <x:v>2023%309</x:v>
      </x:c>
      <x:c r="F112" t="str">
        <x:v>Cornelius Bauernschmidt</x:v>
      </x:c>
      <x:c r="G112" s="6" t="n">
        <x:v>2869</x:v>
      </x:c>
      <x:c r="H112" s="6" t="n">
        <x:v>0</x:v>
      </x:c>
      <x:c r="I112" s="6" t="n">
        <x:f>G112-H112</x:f>
        <x:v>2869</x:v>
      </x:c>
      <x:c r="J112" t="str">
        <x:v>20230101_3119</x:v>
      </x:c>
    </x:row>
    <x:row r="113">
      <x:c r="A113" t="n">
        <x:v>522</x:v>
      </x:c>
      <x:c r="B113" t="n">
        <x:v>10100</x:v>
      </x:c>
      <x:c r="C113" s="8" t="n">
        <x:v>45101.5</x:v>
      </x:c>
      <x:c r="D113" t="str">
        <x:v>2023%313</x:v>
      </x:c>
      <x:c r="E113" t="str">
        <x:v>2023%313</x:v>
      </x:c>
      <x:c r="F113" t="str">
        <x:v>Rislane Bensliman</x:v>
      </x:c>
      <x:c r="G113" s="6" t="n">
        <x:v>5499</x:v>
      </x:c>
      <x:c r="H113" s="6" t="n">
        <x:v>0</x:v>
      </x:c>
      <x:c r="I113" s="6" t="n">
        <x:f>G113-H113</x:f>
        <x:v>5499</x:v>
      </x:c>
      <x:c r="J113" t="str">
        <x:v>20230101_3144</x:v>
      </x:c>
    </x:row>
    <x:row r="114">
      <x:c r="A114" t="n">
        <x:v>523</x:v>
      </x:c>
      <x:c r="B114" t="n">
        <x:v>10100</x:v>
      </x:c>
      <x:c r="C114" s="8" t="n">
        <x:v>45101.5</x:v>
      </x:c>
      <x:c r="D114" t="str">
        <x:v>2023%314</x:v>
      </x:c>
      <x:c r="E114" t="str">
        <x:v>2023%314</x:v>
      </x:c>
      <x:c r="F114" t="str">
        <x:v>Rislane Bensliman</x:v>
      </x:c>
      <x:c r="G114" s="6" t="n">
        <x:v>1940</x:v>
      </x:c>
      <x:c r="H114" s="6" t="n">
        <x:v>0</x:v>
      </x:c>
      <x:c r="I114" s="6" t="n">
        <x:f>G114-H114</x:f>
        <x:v>1940</x:v>
      </x:c>
      <x:c r="J114" t="str">
        <x:v>20230101_3146</x:v>
      </x:c>
    </x:row>
    <x:row r="115">
      <x:c r="A115" t="n">
        <x:v>524</x:v>
      </x:c>
      <x:c r="B115" t="n">
        <x:v>10100</x:v>
      </x:c>
      <x:c r="C115" s="8" t="n">
        <x:v>45335.5</x:v>
      </x:c>
      <x:c r="D115" t="str">
        <x:v>2023%314</x:v>
      </x:c>
      <x:c r="E115" t="str">
        <x:v>2023%314</x:v>
      </x:c>
      <x:c r="F115" t="str">
        <x:v>Umb. 10069 Bensliman RE 2023-314</x:v>
      </x:c>
      <x:c r="G115" s="6" t="n">
        <x:v>0</x:v>
      </x:c>
      <x:c r="H115" s="6" t="n">
        <x:v>1552</x:v>
      </x:c>
      <x:c r="I115" s="6" t="n">
        <x:f>G115-H115</x:f>
        <x:v>-1552</x:v>
      </x:c>
      <x:c r="J115" t="str">
        <x:v>20240101_9632</x:v>
      </x:c>
    </x:row>
    <x:row r="116">
      <x:c r="A116" t="n">
        <x:v>525</x:v>
      </x:c>
      <x:c r="B116" t="n">
        <x:v>10100</x:v>
      </x:c>
      <x:c r="C116" s="8" t="n">
        <x:v>45101.5</x:v>
      </x:c>
      <x:c r="D116" t="str">
        <x:v>2023%315</x:v>
      </x:c>
      <x:c r="E116" t="str">
        <x:v>2023%315</x:v>
      </x:c>
      <x:c r="F116" t="str">
        <x:v>Rislane Bensliman</x:v>
      </x:c>
      <x:c r="G116" s="6" t="n">
        <x:v>1850</x:v>
      </x:c>
      <x:c r="H116" s="6" t="n">
        <x:v>0</x:v>
      </x:c>
      <x:c r="I116" s="6" t="n">
        <x:f>G116-H116</x:f>
        <x:v>1850</x:v>
      </x:c>
      <x:c r="J116" t="str">
        <x:v>20230101_3150</x:v>
      </x:c>
    </x:row>
    <x:row r="117">
      <x:c r="A117" t="n">
        <x:v>526</x:v>
      </x:c>
      <x:c r="B117" t="n">
        <x:v>10100</x:v>
      </x:c>
      <x:c r="C117" s="8" t="n">
        <x:v>45359.5</x:v>
      </x:c>
      <x:c r="D117" t="str">
        <x:v>2023%315</x:v>
      </x:c>
      <x:c r="E117" t="str">
        <x:v>2023%315</x:v>
      </x:c>
      <x:c r="F117" t="str">
        <x:v>Umb. 10069 Rislane Bensliman 2023-315</x:v>
      </x:c>
      <x:c r="G117" s="6" t="n">
        <x:v>0</x:v>
      </x:c>
      <x:c r="H117" s="6" t="n">
        <x:v>1480</x:v>
      </x:c>
      <x:c r="I117" s="6" t="n">
        <x:f>G117-H117</x:f>
        <x:v>-1480</x:v>
      </x:c>
      <x:c r="J117" t="str">
        <x:v>20240101_9648</x:v>
      </x:c>
    </x:row>
    <x:row r="118">
      <x:c r="A118" t="n">
        <x:v>527</x:v>
      </x:c>
      <x:c r="B118" t="n">
        <x:v>10100</x:v>
      </x:c>
      <x:c r="C118" s="8" t="n">
        <x:v>45106.5</x:v>
      </x:c>
      <x:c r="D118" t="str">
        <x:v>2023%321</x:v>
      </x:c>
      <x:c r="E118" t="str">
        <x:v>2023%321</x:v>
      </x:c>
      <x:c r="F118" t="str">
        <x:v>Elisabeth Borgecrona</x:v>
      </x:c>
      <x:c r="G118" s="6" t="n">
        <x:v>206</x:v>
      </x:c>
      <x:c r="H118" s="6" t="n">
        <x:v>0</x:v>
      </x:c>
      <x:c r="I118" s="6" t="n">
        <x:f>G118-H118</x:f>
        <x:v>206</x:v>
      </x:c>
      <x:c r="J118" t="str">
        <x:v>20230101_3178</x:v>
      </x:c>
    </x:row>
    <x:row r="119">
      <x:c r="A119" t="n">
        <x:v>528</x:v>
      </x:c>
      <x:c r="B119" t="n">
        <x:v>10100</x:v>
      </x:c>
      <x:c r="C119" s="8" t="n">
        <x:v>45120.5</x:v>
      </x:c>
      <x:c r="D119" t="str">
        <x:v>2023%324</x:v>
      </x:c>
      <x:c r="E119" t="str">
        <x:v>2023%324</x:v>
      </x:c>
      <x:c r="F119" t="str">
        <x:v>Brunner</x:v>
      </x:c>
      <x:c r="G119" s="6" t="n">
        <x:v>3900</x:v>
      </x:c>
      <x:c r="H119" s="6" t="n">
        <x:v>0</x:v>
      </x:c>
      <x:c r="I119" s="6" t="n">
        <x:f>G119-H119</x:f>
        <x:v>3900</x:v>
      </x:c>
      <x:c r="J119" t="str">
        <x:v>20230101_3208</x:v>
      </x:c>
    </x:row>
    <x:row r="120">
      <x:c r="A120" t="n">
        <x:v>529</x:v>
      </x:c>
      <x:c r="B120" t="n">
        <x:v>10100</x:v>
      </x:c>
      <x:c r="C120" s="8" t="n">
        <x:v>45131.5</x:v>
      </x:c>
      <x:c r="D120" t="str">
        <x:v>2023%337</x:v>
      </x:c>
      <x:c r="E120" t="str">
        <x:v>2023%337</x:v>
      </x:c>
      <x:c r="F120" t="str">
        <x:v>Buch</x:v>
      </x:c>
      <x:c r="G120" s="6" t="n">
        <x:v>2055</x:v>
      </x:c>
      <x:c r="H120" s="6" t="n">
        <x:v>0</x:v>
      </x:c>
      <x:c r="I120" s="6" t="n">
        <x:f>G120-H120</x:f>
        <x:v>2055</x:v>
      </x:c>
      <x:c r="J120" t="str">
        <x:v>20230101_3259</x:v>
      </x:c>
    </x:row>
    <x:row r="121">
      <x:c r="A121" t="n">
        <x:v>533</x:v>
      </x:c>
      <x:c r="B121" t="n">
        <x:v>10100</x:v>
      </x:c>
      <x:c r="C121" s="8" t="n">
        <x:v>45149.5</x:v>
      </x:c>
      <x:c r="D121" t="str">
        <x:v>2023%344</x:v>
      </x:c>
      <x:c r="E121" t="str">
        <x:v>2023%344</x:v>
      </x:c>
      <x:c r="F121" t="str">
        <x:v>Bahr</x:v>
      </x:c>
      <x:c r="G121" s="6" t="n">
        <x:v>370</x:v>
      </x:c>
      <x:c r="H121" s="6" t="n">
        <x:v>0</x:v>
      </x:c>
      <x:c r="I121" s="6" t="n">
        <x:f>G121-H121</x:f>
        <x:v>370</x:v>
      </x:c>
      <x:c r="J121" t="str">
        <x:v>20230101_3300</x:v>
      </x:c>
    </x:row>
    <x:row r="122">
      <x:c r="A122" t="n">
        <x:v>534</x:v>
      </x:c>
      <x:c r="B122" t="n">
        <x:v>10100</x:v>
      </x:c>
      <x:c r="C122" s="8" t="n">
        <x:v>45159.5</x:v>
      </x:c>
      <x:c r="D122" t="str">
        <x:v>2023%349</x:v>
      </x:c>
      <x:c r="E122" t="str">
        <x:v>2023%349</x:v>
      </x:c>
      <x:c r="F122" t="str">
        <x:v>Bielefeld</x:v>
      </x:c>
      <x:c r="G122" s="6" t="n">
        <x:v>236</x:v>
      </x:c>
      <x:c r="H122" s="6" t="n">
        <x:v>0</x:v>
      </x:c>
      <x:c r="I122" s="6" t="n">
        <x:f>G122-H122</x:f>
        <x:v>236</x:v>
      </x:c>
      <x:c r="J122" t="str">
        <x:v>20230101_3309</x:v>
      </x:c>
    </x:row>
    <x:row r="123">
      <x:c r="A123" t="n">
        <x:v>551</x:v>
      </x:c>
      <x:c r="B123" t="n">
        <x:v>10100</x:v>
      </x:c>
      <x:c r="C123" s="8" t="n">
        <x:v>45205.5</x:v>
      </x:c>
      <x:c r="D123" t="str">
        <x:v>2023%374</x:v>
      </x:c>
      <x:c r="E123" t="str">
        <x:v>2023%374</x:v>
      </x:c>
      <x:c r="F123" t="str">
        <x:v>Brandl</x:v>
      </x:c>
      <x:c r="G123" s="6" t="n">
        <x:v>1172</x:v>
      </x:c>
      <x:c r="H123" s="6" t="n">
        <x:v>0</x:v>
      </x:c>
      <x:c r="I123" s="6" t="n">
        <x:f>G123-H123</x:f>
        <x:v>1172</x:v>
      </x:c>
      <x:c r="J123" t="str">
        <x:v>20230101_3381</x:v>
      </x:c>
    </x:row>
    <x:row r="124">
      <x:c r="A124" t="n">
        <x:v>552</x:v>
      </x:c>
      <x:c r="B124" t="n">
        <x:v>10100</x:v>
      </x:c>
      <x:c r="C124" s="8" t="n">
        <x:v>45247.5</x:v>
      </x:c>
      <x:c r="D124" t="str">
        <x:v>2023%392</x:v>
      </x:c>
      <x:c r="E124" t="str">
        <x:v>2023%392</x:v>
      </x:c>
      <x:c r="F124" t="str">
        <x:v>Biagini</x:v>
      </x:c>
      <x:c r="G124" s="6" t="n">
        <x:v>1560</x:v>
      </x:c>
      <x:c r="H124" s="6" t="n">
        <x:v>0</x:v>
      </x:c>
      <x:c r="I124" s="6" t="n">
        <x:f>G124-H124</x:f>
        <x:v>1560</x:v>
      </x:c>
      <x:c r="J124" t="str">
        <x:v>20230101_3453</x:v>
      </x:c>
    </x:row>
    <x:row r="125">
      <x:c r="A125" t="n">
        <x:v>553</x:v>
      </x:c>
      <x:c r="B125" t="n">
        <x:v>10100</x:v>
      </x:c>
      <x:c r="C125" s="8" t="n">
        <x:v>45251.5</x:v>
      </x:c>
      <x:c r="D125" t="str">
        <x:v>2023%394</x:v>
      </x:c>
      <x:c r="E125" t="str">
        <x:v>2023%394</x:v>
      </x:c>
      <x:c r="F125" t="str">
        <x:v>Beaury</x:v>
      </x:c>
      <x:c r="G125" s="6" t="n">
        <x:v>340</x:v>
      </x:c>
      <x:c r="H125" s="6" t="n">
        <x:v>0</x:v>
      </x:c>
      <x:c r="I125" s="6" t="n">
        <x:f>G125-H125</x:f>
        <x:v>340</x:v>
      </x:c>
      <x:c r="J125" t="str">
        <x:v>20230101_3461</x:v>
      </x:c>
    </x:row>
    <x:row r="126">
      <x:c r="A126" t="n">
        <x:v>554</x:v>
      </x:c>
      <x:c r="B126" t="n">
        <x:v>10100</x:v>
      </x:c>
      <x:c r="C126" s="8" t="n">
        <x:v>45260.5</x:v>
      </x:c>
      <x:c r="D126" t="str">
        <x:v>2023%403</x:v>
      </x:c>
      <x:c r="E126" t="str">
        <x:v>2023%403</x:v>
      </x:c>
      <x:c r="F126" t="str">
        <x:v>Baumann</x:v>
      </x:c>
      <x:c r="G126" s="6" t="n">
        <x:v>8350</x:v>
      </x:c>
      <x:c r="H126" s="6" t="n">
        <x:v>0</x:v>
      </x:c>
      <x:c r="I126" s="6" t="n">
        <x:f>G126-H126</x:f>
        <x:v>8350</x:v>
      </x:c>
      <x:c r="J126" t="str">
        <x:v>20230101_3480</x:v>
      </x:c>
    </x:row>
    <x:row r="127">
      <x:c r="A127" t="n">
        <x:v>555</x:v>
      </x:c>
      <x:c r="B127" t="n">
        <x:v>10100</x:v>
      </x:c>
      <x:c r="C127" s="8" t="n">
        <x:v>45338.5</x:v>
      </x:c>
      <x:c r="D127" t="str">
        <x:v>2023%403</x:v>
      </x:c>
      <x:c r="E127" t="str">
        <x:v>2023%403</x:v>
      </x:c>
      <x:c r="F127" t="str">
        <x:v>Umb. 10069 Clara Baumann 2023-403</x:v>
      </x:c>
      <x:c r="G127" s="6" t="n">
        <x:v>0</x:v>
      </x:c>
      <x:c r="H127" s="6" t="n">
        <x:v>1670</x:v>
      </x:c>
      <x:c r="I127" s="6" t="n">
        <x:f>G127-H127</x:f>
        <x:v>-1670</x:v>
      </x:c>
      <x:c r="J127" t="str">
        <x:v>20240101_9638</x:v>
      </x:c>
    </x:row>
    <x:row r="128">
      <x:c r="A128" t="n">
        <x:v>556</x:v>
      </x:c>
      <x:c r="B128" t="n">
        <x:v>10100</x:v>
      </x:c>
      <x:c r="C128" s="8" t="n">
        <x:v>45443.5</x:v>
      </x:c>
      <x:c r="D128" t="str">
        <x:v>2023%403</x:v>
      </x:c>
      <x:c r="E128" t="str">
        <x:v>2023%403</x:v>
      </x:c>
      <x:c r="F128" t="str">
        <x:v>Umb. 10069 Clara Baumann 2023-403</x:v>
      </x:c>
      <x:c r="G128" s="6" t="n">
        <x:v>0</x:v>
      </x:c>
      <x:c r="H128" s="6" t="n">
        <x:v>5010</x:v>
      </x:c>
      <x:c r="I128" s="6" t="n">
        <x:f>G128-H128</x:f>
        <x:v>-5010</x:v>
      </x:c>
      <x:c r="J128" t="str">
        <x:v>20240101_9654</x:v>
      </x:c>
    </x:row>
    <x:row r="129">
      <x:c r="A129" t="n">
        <x:v>567</x:v>
      </x:c>
      <x:c r="B129" t="n">
        <x:v>10100</x:v>
      </x:c>
      <x:c r="C129" s="8" t="n">
        <x:v>44984.5</x:v>
      </x:c>
      <x:c r="D129" t="str">
        <x:v>VRNeu11/3</x:v>
      </x:c>
      <x:c r="E129" t="str">
        <x:v>VRNeu11/3</x:v>
      </x:c>
      <x:c r="F129" t="str">
        <x:v>Henning Bahr 2022-225 2. Rate Geesche Bahr</x:v>
      </x:c>
      <x:c r="G129" s="6" t="n">
        <x:v>0</x:v>
      </x:c>
      <x:c r="H129" s="6" t="n">
        <x:v>1834</x:v>
      </x:c>
      <x:c r="I129" s="6" t="n">
        <x:f>G129-H129</x:f>
        <x:v>-1834</x:v>
      </x:c>
      <x:c r="J129" t="str">
        <x:v>20230101_2623</x:v>
      </x:c>
    </x:row>
    <x:row r="130">
      <x:c r="A130" t="n">
        <x:v>568</x:v>
      </x:c>
      <x:c r="B130" t="n">
        <x:v>10100</x:v>
      </x:c>
      <x:c r="C130" s="8" t="n">
        <x:v>45019.5</x:v>
      </x:c>
      <x:c r="D130" t="str">
        <x:v>VRNeu24/3</x:v>
      </x:c>
      <x:c r="E130" t="str">
        <x:v>VRNeu24/3</x:v>
      </x:c>
      <x:c r="F130" t="str">
        <x:v>Brandmann Franziksa 2023-200</x:v>
      </x:c>
      <x:c r="G130" s="6" t="n">
        <x:v>0</x:v>
      </x:c>
      <x:c r="H130" s="6" t="n">
        <x:v>1520</x:v>
      </x:c>
      <x:c r="I130" s="6" t="n">
        <x:f>G130-H130</x:f>
        <x:v>-1520</x:v>
      </x:c>
      <x:c r="J130" t="str">
        <x:v>20230101_2755</x:v>
      </x:c>
    </x:row>
    <x:row r="131">
      <x:c r="A131" t="n">
        <x:v>569</x:v>
      </x:c>
      <x:c r="B131" t="n">
        <x:v>10100</x:v>
      </x:c>
      <x:c r="C131" s="8" t="n">
        <x:v>45027.5</x:v>
      </x:c>
      <x:c r="D131" t="str">
        <x:v>VRNeu27/2</x:v>
      </x:c>
      <x:c r="E131" t="str">
        <x:v>VRNeu27/2</x:v>
      </x:c>
      <x:c r="F131" t="str">
        <x:v>Bouchet Re 2023-196</x:v>
      </x:c>
      <x:c r="G131" s="6" t="n">
        <x:v>0</x:v>
      </x:c>
      <x:c r="H131" s="6" t="n">
        <x:v>76.5</x:v>
      </x:c>
      <x:c r="I131" s="6" t="n">
        <x:f>G131-H131</x:f>
        <x:v>-76.5</x:v>
      </x:c>
      <x:c r="J131" t="str">
        <x:v>20230101_2801</x:v>
      </x:c>
    </x:row>
    <x:row r="132">
      <x:c r="A132" t="n">
        <x:v>570</x:v>
      </x:c>
      <x:c r="B132" t="n">
        <x:v>10100</x:v>
      </x:c>
      <x:c r="C132" s="8" t="n">
        <x:v>45035.5</x:v>
      </x:c>
      <x:c r="D132" t="str">
        <x:v>VRNeu30/2</x:v>
      </x:c>
      <x:c r="E132" t="str">
        <x:v>VRNeu30/2</x:v>
      </x:c>
      <x:c r="F132" t="str">
        <x:v>Bayer 20223-245</x:v>
      </x:c>
      <x:c r="G132" s="6" t="n">
        <x:v>0</x:v>
      </x:c>
      <x:c r="H132" s="6" t="n">
        <x:v>172</x:v>
      </x:c>
      <x:c r="I132" s="6" t="n">
        <x:f>G132-H132</x:f>
        <x:v>-172</x:v>
      </x:c>
      <x:c r="J132" t="str">
        <x:v>20230101_2850</x:v>
      </x:c>
    </x:row>
    <x:row r="133">
      <x:c r="A133" t="n">
        <x:v>571</x:v>
      </x:c>
      <x:c r="B133" t="n">
        <x:v>10100</x:v>
      </x:c>
      <x:c r="C133" s="8" t="n">
        <x:v>45043.5</x:v>
      </x:c>
      <x:c r="D133" t="str">
        <x:v>VRNeu33/4</x:v>
      </x:c>
      <x:c r="E133" t="str">
        <x:v>VRNeu33/4</x:v>
      </x:c>
      <x:c r="F133" t="str">
        <x:v>Bath 2023-264</x:v>
      </x:c>
      <x:c r="G133" s="6" t="n">
        <x:v>0</x:v>
      </x:c>
      <x:c r="H133" s="6" t="n">
        <x:v>176</x:v>
      </x:c>
      <x:c r="I133" s="6" t="n">
        <x:f>G133-H133</x:f>
        <x:v>-176</x:v>
      </x:c>
      <x:c r="J133" t="str">
        <x:v>20230101_2908</x:v>
      </x:c>
    </x:row>
    <x:row r="134">
      <x:c r="A134" t="n">
        <x:v>572</x:v>
      </x:c>
      <x:c r="B134" t="n">
        <x:v>10100</x:v>
      </x:c>
      <x:c r="C134" s="8" t="n">
        <x:v>45043.5</x:v>
      </x:c>
      <x:c r="D134" t="str">
        <x:v>VRNeu33/4</x:v>
      </x:c>
      <x:c r="E134" t="str">
        <x:v>VRNeu33/4</x:v>
      </x:c>
      <x:c r="F134" t="str">
        <x:v>Boehl 2023-208</x:v>
      </x:c>
      <x:c r="G134" s="6" t="n">
        <x:v>0</x:v>
      </x:c>
      <x:c r="H134" s="6" t="n">
        <x:v>440</x:v>
      </x:c>
      <x:c r="I134" s="6" t="n">
        <x:f>G134-H134</x:f>
        <x:v>-440</x:v>
      </x:c>
      <x:c r="J134" t="str">
        <x:v>20230101_2909</x:v>
      </x:c>
    </x:row>
    <x:row r="135">
      <x:c r="A135" t="n">
        <x:v>573</x:v>
      </x:c>
      <x:c r="B135" t="n">
        <x:v>10100</x:v>
      </x:c>
      <x:c r="C135" s="8" t="n">
        <x:v>45048.5</x:v>
      </x:c>
      <x:c r="D135" t="str">
        <x:v>VRNeu35/2</x:v>
      </x:c>
      <x:c r="E135" t="str">
        <x:v>VRNeu35/2</x:v>
      </x:c>
      <x:c r="F135" t="str">
        <x:v>Bezold 2023-259</x:v>
      </x:c>
      <x:c r="G135" s="6" t="n">
        <x:v>0</x:v>
      </x:c>
      <x:c r="H135" s="6" t="n">
        <x:v>236</x:v>
      </x:c>
      <x:c r="I135" s="6" t="n">
        <x:f>G135-H135</x:f>
        <x:v>-236</x:v>
      </x:c>
      <x:c r="J135" t="str">
        <x:v>20230101_2925</x:v>
      </x:c>
    </x:row>
    <x:row r="136">
      <x:c r="A136" t="n">
        <x:v>574</x:v>
      </x:c>
      <x:c r="B136" t="n">
        <x:v>10100</x:v>
      </x:c>
      <x:c r="C136" s="8" t="n">
        <x:v>45050.5</x:v>
      </x:c>
      <x:c r="D136" t="str">
        <x:v>VRNeu37/1</x:v>
      </x:c>
      <x:c r="E136" t="str">
        <x:v>VRNeu37/1</x:v>
      </x:c>
      <x:c r="F136" t="str">
        <x:v>Brito 2023-263</x:v>
      </x:c>
      <x:c r="G136" s="6" t="n">
        <x:v>0</x:v>
      </x:c>
      <x:c r="H136" s="6" t="n">
        <x:v>418</x:v>
      </x:c>
      <x:c r="I136" s="6" t="n">
        <x:f>G136-H136</x:f>
        <x:v>-418</x:v>
      </x:c>
      <x:c r="J136" t="str">
        <x:v>20230101_2935</x:v>
      </x:c>
    </x:row>
    <x:row r="137">
      <x:c r="A137" t="n">
        <x:v>575</x:v>
      </x:c>
      <x:c r="B137" t="n">
        <x:v>10100</x:v>
      </x:c>
      <x:c r="C137" s="8" t="n">
        <x:v>45054.5</x:v>
      </x:c>
      <x:c r="D137" t="str">
        <x:v>VRNeu37/1</x:v>
      </x:c>
      <x:c r="E137" t="str">
        <x:v>VRNeu37/1</x:v>
      </x:c>
      <x:c r="F137" t="str">
        <x:v>Barth 2023_264</x:v>
      </x:c>
      <x:c r="G137" s="6" t="n">
        <x:v>0</x:v>
      </x:c>
      <x:c r="H137" s="6" t="n">
        <x:v>14</x:v>
      </x:c>
      <x:c r="I137" s="6" t="n">
        <x:f>G137-H137</x:f>
        <x:v>-14</x:v>
      </x:c>
      <x:c r="J137" t="str">
        <x:v>20230101_2944</x:v>
      </x:c>
    </x:row>
    <x:row r="138">
      <x:c r="A138" t="n">
        <x:v>576</x:v>
      </x:c>
      <x:c r="B138" t="n">
        <x:v>10100</x:v>
      </x:c>
      <x:c r="C138" s="8" t="n">
        <x:v>45069.5</x:v>
      </x:c>
      <x:c r="D138" t="str">
        <x:v>VRNeu43</x:v>
      </x:c>
      <x:c r="E138" t="str">
        <x:v>VRNeu43</x:v>
      </x:c>
      <x:c r="F138" t="str">
        <x:v>Bruggemann 2022-257</x:v>
      </x:c>
      <x:c r="G138" s="6" t="n">
        <x:v>0</x:v>
      </x:c>
      <x:c r="H138" s="6" t="n">
        <x:v>35</x:v>
      </x:c>
      <x:c r="I138" s="6" t="n">
        <x:f>G138-H138</x:f>
        <x:v>-35</x:v>
      </x:c>
      <x:c r="J138" t="str">
        <x:v>20230101_3001</x:v>
      </x:c>
    </x:row>
    <x:row r="139">
      <x:c r="A139" t="n">
        <x:v>577</x:v>
      </x:c>
      <x:c r="B139" t="n">
        <x:v>10100</x:v>
      </x:c>
      <x:c r="C139" s="8" t="n">
        <x:v>45078.5</x:v>
      </x:c>
      <x:c r="D139" t="str">
        <x:v>VRNeu45/1</x:v>
      </x:c>
      <x:c r="E139" t="str">
        <x:v>VRNeu45/1</x:v>
      </x:c>
      <x:c r="F139" t="str">
        <x:v>Bahr</x:v>
      </x:c>
      <x:c r="G139" s="6" t="n">
        <x:v>0</x:v>
      </x:c>
      <x:c r="H139" s="6" t="n">
        <x:v>5500</x:v>
      </x:c>
      <x:c r="I139" s="6" t="n">
        <x:f>G139-H139</x:f>
        <x:v>-5500</x:v>
      </x:c>
      <x:c r="J139" t="str">
        <x:v>20230101_3025</x:v>
      </x:c>
    </x:row>
    <x:row r="140">
      <x:c r="A140" t="n">
        <x:v>578</x:v>
      </x:c>
      <x:c r="B140" t="n">
        <x:v>10100</x:v>
      </x:c>
      <x:c r="C140" s="8" t="n">
        <x:v>45078.5</x:v>
      </x:c>
      <x:c r="D140" t="str">
        <x:v>VRNeu45/1</x:v>
      </x:c>
      <x:c r="E140" t="str">
        <x:v>VRNeu45/1</x:v>
      </x:c>
      <x:c r="F140" t="str">
        <x:v>Skonto</x:v>
      </x:c>
      <x:c r="G140" s="6" t="n">
        <x:v>0</x:v>
      </x:c>
      <x:c r="H140" s="6" t="n">
        <x:v>2</x:v>
      </x:c>
      <x:c r="I140" s="6" t="n">
        <x:f>G140-H140</x:f>
        <x:v>-2</x:v>
      </x:c>
      <x:c r="J140" t="str">
        <x:v>20230101_3026</x:v>
      </x:c>
    </x:row>
    <x:row r="141">
      <x:c r="A141" t="n">
        <x:v>579</x:v>
      </x:c>
      <x:c r="B141" t="n">
        <x:v>10100</x:v>
      </x:c>
      <x:c r="C141" s="8" t="n">
        <x:v>45090.5</x:v>
      </x:c>
      <x:c r="D141" t="str">
        <x:v>VRNeu50/1</x:v>
      </x:c>
      <x:c r="E141" t="str">
        <x:v>VRNeu50/1</x:v>
      </x:c>
      <x:c r="F141" t="str">
        <x:v>Beaury 2023_232</x:v>
      </x:c>
      <x:c r="G141" s="6" t="n">
        <x:v>0</x:v>
      </x:c>
      <x:c r="H141" s="6" t="n">
        <x:v>1647.2</x:v>
      </x:c>
      <x:c r="I141" s="6" t="n">
        <x:f>G141-H141</x:f>
        <x:v>-1647.2</x:v>
      </x:c>
      <x:c r="J141" t="str">
        <x:v>20230101_3078</x:v>
      </x:c>
    </x:row>
    <x:row r="142">
      <x:c r="A142" t="n">
        <x:v>580</x:v>
      </x:c>
      <x:c r="B142" t="n">
        <x:v>10100</x:v>
      </x:c>
      <x:c r="C142" s="8" t="n">
        <x:v>45093.5</x:v>
      </x:c>
      <x:c r="D142" t="str">
        <x:v>VRNeu50/2</x:v>
      </x:c>
      <x:c r="E142" t="str">
        <x:v>VRNeu50/2</x:v>
      </x:c>
      <x:c r="F142" t="str">
        <x:v>Beaury 2023_232</x:v>
      </x:c>
      <x:c r="G142" s="6" t="n">
        <x:v>0</x:v>
      </x:c>
      <x:c r="H142" s="6" t="n">
        <x:v>411.8</x:v>
      </x:c>
      <x:c r="I142" s="6" t="n">
        <x:f>G142-H142</x:f>
        <x:v>-411.8</x:v>
      </x:c>
      <x:c r="J142" t="str">
        <x:v>20230101_3112</x:v>
      </x:c>
    </x:row>
    <x:row r="143">
      <x:c r="A143" t="n">
        <x:v>581</x:v>
      </x:c>
      <x:c r="B143" t="n">
        <x:v>10100</x:v>
      </x:c>
      <x:c r="C143" s="8" t="n">
        <x:v>45093.5</x:v>
      </x:c>
      <x:c r="D143" t="str">
        <x:v>VRNeu50/2</x:v>
      </x:c>
      <x:c r="E143" t="str">
        <x:v>VRNeu50/2</x:v>
      </x:c>
      <x:c r="F143" t="str">
        <x:v>Beaury 2023_233</x:v>
      </x:c>
      <x:c r="G143" s="6" t="n">
        <x:v>0</x:v>
      </x:c>
      <x:c r="H143" s="6" t="n">
        <x:v>216</x:v>
      </x:c>
      <x:c r="I143" s="6" t="n">
        <x:f>G143-H143</x:f>
        <x:v>-216</x:v>
      </x:c>
      <x:c r="J143" t="str">
        <x:v>20230101_3113</x:v>
      </x:c>
    </x:row>
    <x:row r="144">
      <x:c r="A144" t="n">
        <x:v>582</x:v>
      </x:c>
      <x:c r="B144" t="n">
        <x:v>10100</x:v>
      </x:c>
      <x:c r="C144" s="8" t="n">
        <x:v>45106.5</x:v>
      </x:c>
      <x:c r="D144" t="str">
        <x:v>VRNeu51/5</x:v>
      </x:c>
      <x:c r="E144" t="str">
        <x:v>VRNeu51/5</x:v>
      </x:c>
      <x:c r="F144" t="str">
        <x:v>Lenze Stella 2023_313</x:v>
      </x:c>
      <x:c r="G144" s="6" t="n">
        <x:v>0</x:v>
      </x:c>
      <x:c r="H144" s="6" t="n">
        <x:v>1099.8</x:v>
      </x:c>
      <x:c r="I144" s="6" t="n">
        <x:f>G144-H144</x:f>
        <x:v>-1099.8</x:v>
      </x:c>
      <x:c r="J144" t="str">
        <x:v>20230101_3181</x:v>
      </x:c>
    </x:row>
    <x:row r="145">
      <x:c r="A145" t="n">
        <x:v>583</x:v>
      </x:c>
      <x:c r="B145" t="n">
        <x:v>10100</x:v>
      </x:c>
      <x:c r="C145" s="8" t="n">
        <x:v>45106.5</x:v>
      </x:c>
      <x:c r="D145" t="str">
        <x:v>VRNeu51/6</x:v>
      </x:c>
      <x:c r="E145" t="str">
        <x:v>VRNeu51/6</x:v>
      </x:c>
      <x:c r="F145" t="str">
        <x:v>Bensliman 2023_314</x:v>
      </x:c>
      <x:c r="G145" s="6" t="n">
        <x:v>0</x:v>
      </x:c>
      <x:c r="H145" s="6" t="n">
        <x:v>388</x:v>
      </x:c>
      <x:c r="I145" s="6" t="n">
        <x:f>G145-H145</x:f>
        <x:v>-388</x:v>
      </x:c>
      <x:c r="J145" t="str">
        <x:v>20230101_3182</x:v>
      </x:c>
    </x:row>
    <x:row r="146">
      <x:c r="A146" t="n">
        <x:v>584</x:v>
      </x:c>
      <x:c r="B146" t="n">
        <x:v>10100</x:v>
      </x:c>
      <x:c r="C146" s="8" t="n">
        <x:v>45106.5</x:v>
      </x:c>
      <x:c r="D146" t="str">
        <x:v>VRNeu51/6</x:v>
      </x:c>
      <x:c r="E146" t="str">
        <x:v>VRNeu51/6</x:v>
      </x:c>
      <x:c r="F146" t="str">
        <x:v>Bensliman 2023_315</x:v>
      </x:c>
      <x:c r="G146" s="6" t="n">
        <x:v>0</x:v>
      </x:c>
      <x:c r="H146" s="6" t="n">
        <x:v>370</x:v>
      </x:c>
      <x:c r="I146" s="6" t="n">
        <x:f>G146-H146</x:f>
        <x:v>-370</x:v>
      </x:c>
      <x:c r="J146" t="str">
        <x:v>20230101_3183</x:v>
      </x:c>
    </x:row>
    <x:row r="147">
      <x:c r="A147" t="n">
        <x:v>585</x:v>
      </x:c>
      <x:c r="B147" t="n">
        <x:v>10100</x:v>
      </x:c>
      <x:c r="C147" s="8" t="n">
        <x:v>45111.5</x:v>
      </x:c>
      <x:c r="D147" t="str">
        <x:v>VRNeu52/2</x:v>
      </x:c>
      <x:c r="E147" t="str">
        <x:v>VRNeu52/2</x:v>
      </x:c>
      <x:c r="F147" t="str">
        <x:v>Cornelius 2023 309</x:v>
      </x:c>
      <x:c r="G147" s="6" t="n">
        <x:v>0</x:v>
      </x:c>
      <x:c r="H147" s="6" t="n">
        <x:v>2869</x:v>
      </x:c>
      <x:c r="I147" s="6" t="n">
        <x:f>G147-H147</x:f>
        <x:v>-2869</x:v>
      </x:c>
      <x:c r="J147" t="str">
        <x:v>20230101_3188</x:v>
      </x:c>
    </x:row>
    <x:row r="148">
      <x:c r="A148" t="n">
        <x:v>586</x:v>
      </x:c>
      <x:c r="B148" t="n">
        <x:v>10100</x:v>
      </x:c>
      <x:c r="C148" s="8" t="n">
        <x:v>45119.5</x:v>
      </x:c>
      <x:c r="D148" t="str">
        <x:v>VRNeu54/1</x:v>
      </x:c>
      <x:c r="E148" t="str">
        <x:v>VRNeu54/1</x:v>
      </x:c>
      <x:c r="F148" t="str">
        <x:v>Borgecrona 2023 321</x:v>
      </x:c>
      <x:c r="G148" s="6" t="n">
        <x:v>0</x:v>
      </x:c>
      <x:c r="H148" s="6" t="n">
        <x:v>206</x:v>
      </x:c>
      <x:c r="I148" s="6" t="n">
        <x:f>G148-H148</x:f>
        <x:v>-206</x:v>
      </x:c>
      <x:c r="J148" t="str">
        <x:v>20230101_3205</x:v>
      </x:c>
    </x:row>
    <x:row r="149">
      <x:c r="A149" t="n">
        <x:v>587</x:v>
      </x:c>
      <x:c r="B149" t="n">
        <x:v>10100</x:v>
      </x:c>
      <x:c r="C149" s="8" t="n">
        <x:v>45120.5</x:v>
      </x:c>
      <x:c r="D149" t="str">
        <x:v>VRNeu54/3</x:v>
      </x:c>
      <x:c r="E149" t="str">
        <x:v>VRNeu54/3</x:v>
      </x:c>
      <x:c r="F149" t="str">
        <x:v>Brunner 2023 324</x:v>
      </x:c>
      <x:c r="G149" s="6" t="n">
        <x:v>0</x:v>
      </x:c>
      <x:c r="H149" s="6" t="n">
        <x:v>670</x:v>
      </x:c>
      <x:c r="I149" s="6" t="n">
        <x:f>G149-H149</x:f>
        <x:v>-670</x:v>
      </x:c>
      <x:c r="J149" t="str">
        <x:v>20230101_3211</x:v>
      </x:c>
    </x:row>
    <x:row r="150">
      <x:c r="A150" t="n">
        <x:v>588</x:v>
      </x:c>
      <x:c r="B150" t="n">
        <x:v>10100</x:v>
      </x:c>
      <x:c r="C150" s="8" t="n">
        <x:v>45127.5</x:v>
      </x:c>
      <x:c r="D150" t="str">
        <x:v>VRNeu56/1</x:v>
      </x:c>
      <x:c r="E150" t="str">
        <x:v>VRNeu56/1</x:v>
      </x:c>
      <x:c r="F150" t="str">
        <x:v>Miss Ruby Bushby</x:v>
      </x:c>
      <x:c r="G150" s="6" t="n">
        <x:v>0</x:v>
      </x:c>
      <x:c r="H150" s="6" t="n">
        <x:v>282</x:v>
      </x:c>
      <x:c r="I150" s="6" t="n">
        <x:f>G150-H150</x:f>
        <x:v>-282</x:v>
      </x:c>
      <x:c r="J150" t="str">
        <x:v>20230101_3240</x:v>
      </x:c>
    </x:row>
    <x:row r="151">
      <x:c r="A151" t="n">
        <x:v>589</x:v>
      </x:c>
      <x:c r="B151" t="n">
        <x:v>10100</x:v>
      </x:c>
      <x:c r="C151" s="8" t="n">
        <x:v>45219.5</x:v>
      </x:c>
      <x:c r="D151" t="str">
        <x:v>VRNeu56/1</x:v>
      </x:c>
      <x:c r="E151" t="str">
        <x:v>VRNeu56/1</x:v>
      </x:c>
      <x:c r="F151" t="str">
        <x:v>Miss Ruby Katharine Bushby</x:v>
      </x:c>
      <x:c r="G151" s="6" t="n">
        <x:v>0</x:v>
      </x:c>
      <x:c r="H151" s="6" t="n">
        <x:v>282</x:v>
      </x:c>
      <x:c r="I151" s="6" t="n">
        <x:f>G151-H151</x:f>
        <x:v>-282</x:v>
      </x:c>
      <x:c r="J151" t="str">
        <x:v>20230101_3402</x:v>
      </x:c>
    </x:row>
    <x:row r="152">
      <x:c r="A152" t="n">
        <x:v>590</x:v>
      </x:c>
      <x:c r="B152" t="n">
        <x:v>10100</x:v>
      </x:c>
      <x:c r="C152" s="8" t="n">
        <x:v>45219.5</x:v>
      </x:c>
      <x:c r="D152" t="str">
        <x:v>VRNeu56/1</x:v>
      </x:c>
      <x:c r="E152" t="str">
        <x:v>VRNeu56/1</x:v>
      </x:c>
      <x:c r="F152" t="str">
        <x:v>&lt;Storno&gt; Miss Ruby Katharine Bushby</x:v>
      </x:c>
      <x:c r="G152" s="6" t="n">
        <x:v>0</x:v>
      </x:c>
      <x:c r="H152" s="6" t="n">
        <x:v>-282</x:v>
      </x:c>
      <x:c r="I152" s="6" t="n">
        <x:f>G152-H152</x:f>
        <x:v>282</x:v>
      </x:c>
      <x:c r="J152" t="str">
        <x:v>20230101_3403</x:v>
      </x:c>
    </x:row>
    <x:row r="153">
      <x:c r="A153" t="n">
        <x:v>591</x:v>
      </x:c>
      <x:c r="B153" t="n">
        <x:v>10100</x:v>
      </x:c>
      <x:c r="C153" s="8" t="n">
        <x:v>45134.5</x:v>
      </x:c>
      <x:c r="D153" t="str">
        <x:v>VRNeu58/3</x:v>
      </x:c>
      <x:c r="E153" t="str">
        <x:v>VRNeu58/3</x:v>
      </x:c>
      <x:c r="F153" t="str">
        <x:v>Buch 2023-337</x:v>
      </x:c>
      <x:c r="G153" s="6" t="n">
        <x:v>0</x:v>
      </x:c>
      <x:c r="H153" s="6" t="n">
        <x:v>411</x:v>
      </x:c>
      <x:c r="I153" s="6" t="n">
        <x:f>G153-H153</x:f>
        <x:v>-411</x:v>
      </x:c>
      <x:c r="J153" t="str">
        <x:v>20230101_3269</x:v>
      </x:c>
    </x:row>
    <x:row r="154">
      <x:c r="A154" t="n">
        <x:v>592</x:v>
      </x:c>
      <x:c r="B154" t="n">
        <x:v>10100</x:v>
      </x:c>
      <x:c r="C154" s="8" t="n">
        <x:v>45138.5</x:v>
      </x:c>
      <x:c r="D154" t="str">
        <x:v>VRNeu59/2</x:v>
      </x:c>
      <x:c r="E154" t="str">
        <x:v>VRNeu59/2</x:v>
      </x:c>
      <x:c r="F154" t="str">
        <x:v>Denker 2023-337</x:v>
      </x:c>
      <x:c r="G154" s="6" t="n">
        <x:v>0</x:v>
      </x:c>
      <x:c r="H154" s="6" t="n">
        <x:v>411</x:v>
      </x:c>
      <x:c r="I154" s="6" t="n">
        <x:f>G154-H154</x:f>
        <x:v>-411</x:v>
      </x:c>
      <x:c r="J154" t="str">
        <x:v>20230101_3275</x:v>
      </x:c>
    </x:row>
    <x:row r="155">
      <x:c r="A155" t="n">
        <x:v>593</x:v>
      </x:c>
      <x:c r="B155" t="n">
        <x:v>10100</x:v>
      </x:c>
      <x:c r="C155" s="8" t="n">
        <x:v>45138.5</x:v>
      </x:c>
      <x:c r="D155" t="str">
        <x:v>VRNeu60/1</x:v>
      </x:c>
      <x:c r="E155" t="str">
        <x:v>VRNeu60/1</x:v>
      </x:c>
      <x:c r="F155" t="str">
        <x:v>Lenze und Bensliman  2023-313</x:v>
      </x:c>
      <x:c r="G155" s="6" t="n">
        <x:v>0</x:v>
      </x:c>
      <x:c r="H155" s="6" t="n">
        <x:v>4399.2</x:v>
      </x:c>
      <x:c r="I155" s="6" t="n">
        <x:f>G155-H155</x:f>
        <x:v>-4399.2</x:v>
      </x:c>
      <x:c r="J155" t="str">
        <x:v>20230101_3278</x:v>
      </x:c>
    </x:row>
    <x:row r="156">
      <x:c r="A156" t="n">
        <x:v>594</x:v>
      </x:c>
      <x:c r="B156" t="n">
        <x:v>10100</x:v>
      </x:c>
      <x:c r="C156" s="8" t="n">
        <x:v>45170.5</x:v>
      </x:c>
      <x:c r="D156" t="str">
        <x:v>VRNeu67/2</x:v>
      </x:c>
      <x:c r="E156" t="str">
        <x:v>VRNeu67/2</x:v>
      </x:c>
      <x:c r="F156" t="str">
        <x:v>Baker 2023-287</x:v>
      </x:c>
      <x:c r="G156" s="6" t="n">
        <x:v>0</x:v>
      </x:c>
      <x:c r="H156" s="6" t="n">
        <x:v>1280</x:v>
      </x:c>
      <x:c r="I156" s="6" t="n">
        <x:f>G156-H156</x:f>
        <x:v>-1280</x:v>
      </x:c>
      <x:c r="J156" t="str">
        <x:v>20230101_3328</x:v>
      </x:c>
    </x:row>
    <x:row r="157">
      <x:c r="A157" t="n">
        <x:v>595</x:v>
      </x:c>
      <x:c r="B157" t="n">
        <x:v>10100</x:v>
      </x:c>
      <x:c r="C157" s="8" t="n">
        <x:v>45174.5</x:v>
      </x:c>
      <x:c r="D157" t="str">
        <x:v>VRNeu68/2</x:v>
      </x:c>
      <x:c r="E157" t="str">
        <x:v>VRNeu68/2</x:v>
      </x:c>
      <x:c r="F157" t="str">
        <x:v>Bielefeld 2023-349</x:v>
      </x:c>
      <x:c r="G157" s="6" t="n">
        <x:v>0</x:v>
      </x:c>
      <x:c r="H157" s="6" t="n">
        <x:v>236</x:v>
      </x:c>
      <x:c r="I157" s="6" t="n">
        <x:f>G157-H157</x:f>
        <x:v>-236</x:v>
      </x:c>
      <x:c r="J157" t="str">
        <x:v>20230101_3335</x:v>
      </x:c>
    </x:row>
    <x:row r="158">
      <x:c r="A158" t="n">
        <x:v>596</x:v>
      </x:c>
      <x:c r="B158" t="n">
        <x:v>10100</x:v>
      </x:c>
      <x:c r="C158" s="8" t="n">
        <x:v>45180.5</x:v>
      </x:c>
      <x:c r="D158" t="str">
        <x:v>VRNeu70/2</x:v>
      </x:c>
      <x:c r="E158" t="str">
        <x:v>VRNeu70/2</x:v>
      </x:c>
      <x:c r="F158" t="str">
        <x:v>Bahr 2023-344</x:v>
      </x:c>
      <x:c r="G158" s="6" t="n">
        <x:v>0</x:v>
      </x:c>
      <x:c r="H158" s="6" t="n">
        <x:v>370</x:v>
      </x:c>
      <x:c r="I158" s="6" t="n">
        <x:f>G158-H158</x:f>
        <x:v>-370</x:v>
      </x:c>
      <x:c r="J158" t="str">
        <x:v>20230101_3351</x:v>
      </x:c>
    </x:row>
    <x:row r="159">
      <x:c r="A159" t="n">
        <x:v>597</x:v>
      </x:c>
      <x:c r="B159" t="n">
        <x:v>10100</x:v>
      </x:c>
      <x:c r="C159" s="8" t="n">
        <x:v>45181.5</x:v>
      </x:c>
      <x:c r="D159" t="str">
        <x:v>VRNeu71/1</x:v>
      </x:c>
      <x:c r="E159" t="str">
        <x:v>VRNeu71/1</x:v>
      </x:c>
      <x:c r="F159" t="str">
        <x:v>Toennis 2023-263</x:v>
      </x:c>
      <x:c r="G159" s="6" t="n">
        <x:v>0</x:v>
      </x:c>
      <x:c r="H159" s="6" t="n">
        <x:v>1672</x:v>
      </x:c>
      <x:c r="I159" s="6" t="n">
        <x:f>G159-H159</x:f>
        <x:v>-1672</x:v>
      </x:c>
      <x:c r="J159" t="str">
        <x:v>20230101_3353</x:v>
      </x:c>
    </x:row>
    <x:row r="160">
      <x:c r="A160" t="n">
        <x:v>598</x:v>
      </x:c>
      <x:c r="B160" t="n">
        <x:v>10100</x:v>
      </x:c>
      <x:c r="C160" s="8" t="n">
        <x:v>45181.5</x:v>
      </x:c>
      <x:c r="D160" t="str">
        <x:v>VRNeu71/2</x:v>
      </x:c>
      <x:c r="E160" t="str">
        <x:v>VRNeu71/2</x:v>
      </x:c>
      <x:c r="F160" t="str">
        <x:v>Beaury 2023-233</x:v>
      </x:c>
      <x:c r="G160" s="6" t="n">
        <x:v>0</x:v>
      </x:c>
      <x:c r="H160" s="6" t="n">
        <x:v>864</x:v>
      </x:c>
      <x:c r="I160" s="6" t="n">
        <x:f>G160-H160</x:f>
        <x:v>-864</x:v>
      </x:c>
      <x:c r="J160" t="str">
        <x:v>20230101_3354</x:v>
      </x:c>
    </x:row>
    <x:row r="161">
      <x:c r="A161" t="n">
        <x:v>599</x:v>
      </x:c>
      <x:c r="B161" t="n">
        <x:v>10100</x:v>
      </x:c>
      <x:c r="C161" s="8" t="n">
        <x:v>45184.5</x:v>
      </x:c>
      <x:c r="D161" t="str">
        <x:v>VRNeu72/1</x:v>
      </x:c>
      <x:c r="E161" t="str">
        <x:v>VRNeu72/1</x:v>
      </x:c>
      <x:c r="F161" t="str">
        <x:v>Bayer 2023-245</x:v>
      </x:c>
      <x:c r="G161" s="6" t="n">
        <x:v>0</x:v>
      </x:c>
      <x:c r="H161" s="6" t="n">
        <x:v>688</x:v>
      </x:c>
      <x:c r="I161" s="6" t="n">
        <x:f>G161-H161</x:f>
        <x:v>-688</x:v>
      </x:c>
      <x:c r="J161" t="str">
        <x:v>20230101_3358</x:v>
      </x:c>
    </x:row>
    <x:row r="162">
      <x:c r="A162" t="n">
        <x:v>600</x:v>
      </x:c>
      <x:c r="B162" t="n">
        <x:v>10100</x:v>
      </x:c>
      <x:c r="C162" s="8" t="n">
        <x:v>45209.5</x:v>
      </x:c>
      <x:c r="D162" t="str">
        <x:v>VRNeu78/2</x:v>
      </x:c>
      <x:c r="E162" t="str">
        <x:v>VRNeu78/2</x:v>
      </x:c>
      <x:c r="F162" t="str">
        <x:v>Buch 2023-337</x:v>
      </x:c>
      <x:c r="G162" s="6" t="n">
        <x:v>0</x:v>
      </x:c>
      <x:c r="H162" s="6" t="n">
        <x:v>1233</x:v>
      </x:c>
      <x:c r="I162" s="6" t="n">
        <x:f>G162-H162</x:f>
        <x:v>-1233</x:v>
      </x:c>
      <x:c r="J162" t="str">
        <x:v>20230101_3389</x:v>
      </x:c>
    </x:row>
    <x:row r="163">
      <x:c r="A163" t="n">
        <x:v>601</x:v>
      </x:c>
      <x:c r="B163" t="n">
        <x:v>10100</x:v>
      </x:c>
      <x:c r="C163" s="8" t="n">
        <x:v>45229.5</x:v>
      </x:c>
      <x:c r="D163" t="str">
        <x:v>VRNeu84/5</x:v>
      </x:c>
      <x:c r="E163" t="str">
        <x:v>VRNeu84/5</x:v>
      </x:c>
      <x:c r="F163" t="str">
        <x:v>Baker 2023_287</x:v>
      </x:c>
      <x:c r="G163" s="6" t="n">
        <x:v>0</x:v>
      </x:c>
      <x:c r="H163" s="6" t="n">
        <x:v>319.56</x:v>
      </x:c>
      <x:c r="I163" s="6" t="n">
        <x:f>G163-H163</x:f>
        <x:v>-319.56</x:v>
      </x:c>
      <x:c r="J163" t="str">
        <x:v>20230101_3435</x:v>
      </x:c>
    </x:row>
    <x:row r="164">
      <x:c r="A164" t="n">
        <x:v>602</x:v>
      </x:c>
      <x:c r="B164" t="n">
        <x:v>10100</x:v>
      </x:c>
      <x:c r="C164" s="8" t="n">
        <x:v>45229.5</x:v>
      </x:c>
      <x:c r="D164" t="str">
        <x:v>VRNeu84/5</x:v>
      </x:c>
      <x:c r="E164" t="str">
        <x:v>VRNeu84/5</x:v>
      </x:c>
      <x:c r="F164" t="str">
        <x:v>Umrechnung</x:v>
      </x:c>
      <x:c r="G164" s="6" t="n">
        <x:v>0</x:v>
      </x:c>
      <x:c r="H164" s="6" t="n">
        <x:v>0.44</x:v>
      </x:c>
      <x:c r="I164" s="6" t="n">
        <x:f>G164-H164</x:f>
        <x:v>-0.44</x:v>
      </x:c>
      <x:c r="J164" t="str">
        <x:v>20230101_3436</x:v>
      </x:c>
    </x:row>
    <x:row r="165">
      <x:c r="A165" t="n">
        <x:v>603</x:v>
      </x:c>
      <x:c r="B165" t="n">
        <x:v>10100</x:v>
      </x:c>
      <x:c r="C165" s="8" t="n">
        <x:v>45261.5</x:v>
      </x:c>
      <x:c r="D165" t="str">
        <x:v>VRNeu93/2</x:v>
      </x:c>
      <x:c r="E165" t="str">
        <x:v>VRNeu93/2</x:v>
      </x:c>
      <x:c r="F165" t="str">
        <x:v>Beaury 2023_394</x:v>
      </x:c>
      <x:c r="G165" s="6" t="n">
        <x:v>0</x:v>
      </x:c>
      <x:c r="H165" s="6" t="n">
        <x:v>340</x:v>
      </x:c>
      <x:c r="I165" s="6" t="n">
        <x:f>G165-H165</x:f>
        <x:v>-340</x:v>
      </x:c>
      <x:c r="J165" t="str">
        <x:v>20230101_3490</x:v>
      </x:c>
    </x:row>
    <x:row r="166">
      <x:c r="A166" t="n">
        <x:v>604</x:v>
      </x:c>
      <x:c r="B166" t="n">
        <x:v>10100</x:v>
      </x:c>
      <x:c r="C166" s="8" t="n">
        <x:v>45264.5</x:v>
      </x:c>
      <x:c r="D166" t="str">
        <x:v>VRNeu94/1</x:v>
      </x:c>
      <x:c r="E166" t="str">
        <x:v>VRNeu94/1</x:v>
      </x:c>
      <x:c r="F166" t="str">
        <x:v>Biagini 2023_392</x:v>
      </x:c>
      <x:c r="G166" s="6" t="n">
        <x:v>0</x:v>
      </x:c>
      <x:c r="H166" s="6" t="n">
        <x:v>1560</x:v>
      </x:c>
      <x:c r="I166" s="6" t="n">
        <x:f>G166-H166</x:f>
        <x:v>-1560</x:v>
      </x:c>
      <x:c r="J166" t="str">
        <x:v>20230101_3493</x:v>
      </x:c>
    </x:row>
    <x:row r="167">
      <x:c r="A167" t="n">
        <x:v>605</x:v>
      </x:c>
      <x:c r="B167" t="n">
        <x:v>10100</x:v>
      </x:c>
      <x:c r="C167" s="8" t="n">
        <x:v>45266.5</x:v>
      </x:c>
      <x:c r="D167" t="str">
        <x:v>VRNeu94/3</x:v>
      </x:c>
      <x:c r="E167" t="str">
        <x:v>VRNeu94/3</x:v>
      </x:c>
      <x:c r="F167" t="str">
        <x:v>Brunner 2023_324</x:v>
      </x:c>
      <x:c r="G167" s="6" t="n">
        <x:v>0</x:v>
      </x:c>
      <x:c r="H167" s="6" t="n">
        <x:v>3900</x:v>
      </x:c>
      <x:c r="I167" s="6" t="n">
        <x:f>G167-H167</x:f>
        <x:v>-3900</x:v>
      </x:c>
      <x:c r="J167" t="str">
        <x:v>20230101_3500</x:v>
      </x:c>
    </x:row>
    <x:row r="168">
      <x:c r="A168" t="n">
        <x:v>606</x:v>
      </x:c>
      <x:c r="B168" t="n">
        <x:v>10100</x:v>
      </x:c>
      <x:c r="C168" s="8" t="n">
        <x:v>45266.5</x:v>
      </x:c>
      <x:c r="D168" t="str">
        <x:v>VRNeu94/3</x:v>
      </x:c>
      <x:c r="E168" t="str">
        <x:v>VRNeu94/3</x:v>
      </x:c>
      <x:c r="F168" t="str">
        <x:v>Brand 2023_374</x:v>
      </x:c>
      <x:c r="G168" s="6" t="n">
        <x:v>0</x:v>
      </x:c>
      <x:c r="H168" s="6" t="n">
        <x:v>1172</x:v>
      </x:c>
      <x:c r="I168" s="6" t="n">
        <x:f>G168-H168</x:f>
        <x:v>-1172</x:v>
      </x:c>
      <x:c r="J168" t="str">
        <x:v>20230101_3501</x:v>
      </x:c>
    </x:row>
    <x:row r="169">
      <x:c r="A169" t="n">
        <x:v>607</x:v>
      </x:c>
      <x:c r="B169" t="n">
        <x:v>10100</x:v>
      </x:c>
      <x:c r="C169" s="8" t="n">
        <x:v>45274.5</x:v>
      </x:c>
      <x:c r="D169" t="str">
        <x:v>VRNeu97/1</x:v>
      </x:c>
      <x:c r="E169" t="str">
        <x:v>VRNeu97/1</x:v>
      </x:c>
      <x:c r="F169" t="str">
        <x:v>Baumann 023_403</x:v>
      </x:c>
      <x:c r="G169" s="6" t="n">
        <x:v>0</x:v>
      </x:c>
      <x:c r="H169" s="6" t="n">
        <x:v>1670</x:v>
      </x:c>
      <x:c r="I169" s="6" t="n">
        <x:f>G169-H169</x:f>
        <x:v>-1670</x:v>
      </x:c>
      <x:c r="J169" t="str">
        <x:v>20230101_3513</x:v>
      </x:c>
    </x:row>
    <x:row r="170">
      <x:c r="A170" t="n">
        <x:v>621</x:v>
      </x:c>
      <x:c r="B170" t="n">
        <x:v>10103</x:v>
      </x:c>
      <x:c r="C170" s="8" t="n">
        <x:v>45434.5</x:v>
      </x:c>
      <x:c r="D170" t="str">
        <x:v>Debi2024-212</x:v>
      </x:c>
      <x:c r="E170" t="str">
        <x:v>Debi2024-212</x:v>
      </x:c>
      <x:c r="F170" t="str">
        <x:v>Marie Müller</x:v>
      </x:c>
      <x:c r="G170" s="6" t="n">
        <x:v>950</x:v>
      </x:c>
      <x:c r="H170" s="6" t="n">
        <x:v>0</x:v>
      </x:c>
      <x:c r="I170" s="6" t="n">
        <x:f>G170-H170</x:f>
        <x:v>950</x:v>
      </x:c>
      <x:c r="J170" t="str">
        <x:v>20240101_8784</x:v>
      </x:c>
    </x:row>
    <x:row r="171">
      <x:c r="A171" t="n">
        <x:v>622</x:v>
      </x:c>
      <x:c r="B171" t="n">
        <x:v>10103</x:v>
      </x:c>
      <x:c r="C171" s="8" t="n">
        <x:v>45583.5</x:v>
      </x:c>
      <x:c r="D171" t="str">
        <x:v>Debi2024-321</x:v>
      </x:c>
      <x:c r="E171" t="str">
        <x:v>Debi2024-321</x:v>
      </x:c>
      <x:c r="F171" t="str">
        <x:v>Marie Müller</x:v>
      </x:c>
      <x:c r="G171" s="6" t="n">
        <x:v>190</x:v>
      </x:c>
      <x:c r="H171" s="6" t="n">
        <x:v>0</x:v>
      </x:c>
      <x:c r="I171" s="6" t="n">
        <x:f>G171-H171</x:f>
        <x:v>190</x:v>
      </x:c>
      <x:c r="J171" t="str">
        <x:v>20240101_9331</x:v>
      </x:c>
    </x:row>
    <x:row r="172">
      <x:c r="A172" t="n">
        <x:v>627</x:v>
      </x:c>
      <x:c r="B172" t="n">
        <x:v>10103</x:v>
      </x:c>
      <x:c r="C172" s="8" t="n">
        <x:v>45649.5</x:v>
      </x:c>
      <x:c r="D172" t="str">
        <x:v>Voba109/2</x:v>
      </x:c>
      <x:c r="E172" t="str">
        <x:v>Voba109/2</x:v>
      </x:c>
      <x:c r="F172" t="str">
        <x:v>Marie Müller 2024-350</x:v>
      </x:c>
      <x:c r="G172" s="6" t="n">
        <x:v>0</x:v>
      </x:c>
      <x:c r="H172" s="6" t="n">
        <x:v>760</x:v>
      </x:c>
      <x:c r="I172" s="6" t="n">
        <x:f>G172-H172</x:f>
        <x:v>-760</x:v>
      </x:c>
      <x:c r="J172" t="str">
        <x:v>20240101_9573</x:v>
      </x:c>
    </x:row>
    <x:row r="173">
      <x:c r="A173" t="n">
        <x:v>640</x:v>
      </x:c>
      <x:c r="B173" t="n">
        <x:v>10106</x:v>
      </x:c>
      <x:c r="C173" s="8" t="n">
        <x:v>45489.5</x:v>
      </x:c>
      <x:c r="D173" t="str">
        <x:v>57/1</x:v>
      </x:c>
      <x:c r="E173" t="str">
        <x:v>57/1</x:v>
      </x:c>
      <x:c r="F173" t="str">
        <x:v>Ayer Desiree 2024-215</x:v>
      </x:c>
      <x:c r="G173" s="6" t="n">
        <x:v>0</x:v>
      </x:c>
      <x:c r="H173" s="6" t="n">
        <x:v>316.8</x:v>
      </x:c>
      <x:c r="I173" s="6" t="n">
        <x:f>G173-H173</x:f>
        <x:v>-316.8</x:v>
      </x:c>
      <x:c r="J173" t="str">
        <x:v>20240101_9684</x:v>
      </x:c>
    </x:row>
    <x:row r="174">
      <x:c r="A174" t="n">
        <x:v>657</x:v>
      </x:c>
      <x:c r="B174" t="n">
        <x:v>10109</x:v>
      </x:c>
      <x:c r="C174" s="8" t="n">
        <x:v>45439.5</x:v>
      </x:c>
      <x:c r="D174" t="str">
        <x:v>Debi2024-218</x:v>
      </x:c>
      <x:c r="E174" t="str">
        <x:v>Debi2024-218</x:v>
      </x:c>
      <x:c r="F174" t="str">
        <x:v>Haley Lindale</x:v>
      </x:c>
      <x:c r="G174" s="6" t="n">
        <x:v>293.49</x:v>
      </x:c>
      <x:c r="H174" s="6" t="n">
        <x:v>0</x:v>
      </x:c>
      <x:c r="I174" s="6" t="n">
        <x:f>G174-H174</x:f>
        <x:v>293.49</x:v>
      </x:c>
      <x:c r="J174" t="str">
        <x:v>20240101_8799</x:v>
      </x:c>
    </x:row>
    <x:row r="175">
      <x:c r="A175" t="n">
        <x:v>658</x:v>
      </x:c>
      <x:c r="B175" t="n">
        <x:v>10110</x:v>
      </x:c>
      <x:c r="C175" s="8" t="n">
        <x:v>45463.5</x:v>
      </x:c>
      <x:c r="D175" t="str">
        <x:v>2024219</x:v>
      </x:c>
      <x:c r="E175" t="str">
        <x:v>2024219</x:v>
      </x:c>
      <x:c r="F175" t="str">
        <x:v>Marquez Sanchez Isabel</x:v>
      </x:c>
      <x:c r="G175" s="6" t="n">
        <x:v>3829</x:v>
      </x:c>
      <x:c r="H175" s="6" t="n">
        <x:v>0</x:v>
      </x:c>
      <x:c r="I175" s="6" t="n">
        <x:f>G175-H175</x:f>
        <x:v>3829</x:v>
      </x:c>
      <x:c r="J175" t="str">
        <x:v>20240101_9678</x:v>
      </x:c>
    </x:row>
    <x:row r="176">
      <x:c r="A176" t="n">
        <x:v>669</x:v>
      </x:c>
      <x:c r="B176" t="n">
        <x:v>10114</x:v>
      </x:c>
      <x:c r="C176" s="8" t="n">
        <x:v>45457.5</x:v>
      </x:c>
      <x:c r="D176" t="str">
        <x:v>2024225</x:v>
      </x:c>
      <x:c r="E176" t="str">
        <x:v>2024225</x:v>
      </x:c>
      <x:c r="F176" t="str">
        <x:v>Goettelmann Cecilee</x:v>
      </x:c>
      <x:c r="G176" s="6" t="n">
        <x:v>276</x:v>
      </x:c>
      <x:c r="H176" s="6" t="n">
        <x:v>0</x:v>
      </x:c>
      <x:c r="I176" s="6" t="n">
        <x:f>G176-H176</x:f>
        <x:v>276</x:v>
      </x:c>
      <x:c r="J176" t="str">
        <x:v>20240101_9676</x:v>
      </x:c>
    </x:row>
    <x:row r="177">
      <x:c r="A177" t="n">
        <x:v>687</x:v>
      </x:c>
      <x:c r="B177" t="n">
        <x:v>10121</x:v>
      </x:c>
      <x:c r="C177" s="8" t="n">
        <x:v>45460.5</x:v>
      </x:c>
      <x:c r="D177" t="str">
        <x:v>Debi2024-233</x:v>
      </x:c>
      <x:c r="E177" t="str">
        <x:v>Debi2024-233</x:v>
      </x:c>
      <x:c r="F177" t="str">
        <x:v>Simon Pirhofer</x:v>
      </x:c>
      <x:c r="G177" s="6" t="n">
        <x:v>921</x:v>
      </x:c>
      <x:c r="H177" s="6" t="n">
        <x:v>0</x:v>
      </x:c>
      <x:c r="I177" s="6" t="n">
        <x:f>G177-H177</x:f>
        <x:v>921</x:v>
      </x:c>
      <x:c r="J177" t="str">
        <x:v>20240101_8862</x:v>
      </x:c>
    </x:row>
    <x:row r="178">
      <x:c r="A178" t="n">
        <x:v>688</x:v>
      </x:c>
      <x:c r="B178" t="n">
        <x:v>10121</x:v>
      </x:c>
      <x:c r="C178" s="8" t="n">
        <x:v>45518.5</x:v>
      </x:c>
      <x:c r="D178" t="str">
        <x:v>Debi2024-278</x:v>
      </x:c>
      <x:c r="E178" t="str">
        <x:v>Debi2024-278</x:v>
      </x:c>
      <x:c r="F178" t="str">
        <x:v>Simon Pirhofer</x:v>
      </x:c>
      <x:c r="G178" s="6" t="n">
        <x:v>120</x:v>
      </x:c>
      <x:c r="H178" s="6" t="n">
        <x:v>0</x:v>
      </x:c>
      <x:c r="I178" s="6" t="n">
        <x:f>G178-H178</x:f>
        <x:v>120</x:v>
      </x:c>
      <x:c r="J178" t="str">
        <x:v>20240101_9099</x:v>
      </x:c>
    </x:row>
    <x:row r="179">
      <x:c r="A179" t="n">
        <x:v>689</x:v>
      </x:c>
      <x:c r="B179" t="n">
        <x:v>10121</x:v>
      </x:c>
      <x:c r="C179" s="8" t="n">
        <x:v>45468.5</x:v>
      </x:c>
      <x:c r="D179" t="str">
        <x:v>Voba51/2</x:v>
      </x:c>
      <x:c r="E179" t="str">
        <x:v>Voba51/2</x:v>
      </x:c>
      <x:c r="F179" t="str">
        <x:v>Pirhofer Simon 2024-233</x:v>
      </x:c>
      <x:c r="G179" s="6" t="n">
        <x:v>0</x:v>
      </x:c>
      <x:c r="H179" s="6" t="n">
        <x:v>184.2</x:v>
      </x:c>
      <x:c r="I179" s="6" t="n">
        <x:f>G179-H179</x:f>
        <x:v>-184.2</x:v>
      </x:c>
      <x:c r="J179" t="str">
        <x:v>20240101_8906</x:v>
      </x:c>
    </x:row>
    <x:row r="180">
      <x:c r="A180" t="n">
        <x:v>690</x:v>
      </x:c>
      <x:c r="B180" t="n">
        <x:v>10121</x:v>
      </x:c>
      <x:c r="C180" s="8" t="n">
        <x:v>45497.5</x:v>
      </x:c>
      <x:c r="D180" t="str">
        <x:v>Voba60/2</x:v>
      </x:c>
      <x:c r="E180" t="str">
        <x:v>Voba60/2</x:v>
      </x:c>
      <x:c r="F180" t="str">
        <x:v>Pirhofer Simon 2024-233</x:v>
      </x:c>
      <x:c r="G180" s="6" t="n">
        <x:v>0</x:v>
      </x:c>
      <x:c r="H180" s="6" t="n">
        <x:v>736.8</x:v>
      </x:c>
      <x:c r="I180" s="6" t="n">
        <x:f>G180-H180</x:f>
        <x:v>-736.8</x:v>
      </x:c>
      <x:c r="J180" t="str">
        <x:v>20240101_9013</x:v>
      </x:c>
    </x:row>
    <x:row r="181">
      <x:c r="A181" t="n">
        <x:v>691</x:v>
      </x:c>
      <x:c r="B181" t="n">
        <x:v>10121</x:v>
      </x:c>
      <x:c r="C181" s="8" t="n">
        <x:v>45524.5</x:v>
      </x:c>
      <x:c r="D181" t="str">
        <x:v>Voba68/2</x:v>
      </x:c>
      <x:c r="E181" t="str">
        <x:v>Voba68/2</x:v>
      </x:c>
      <x:c r="F181" t="str">
        <x:v>Pirhofer Simon 2024-278</x:v>
      </x:c>
      <x:c r="G181" s="6" t="n">
        <x:v>0</x:v>
      </x:c>
      <x:c r="H181" s="6" t="n">
        <x:v>120</x:v>
      </x:c>
      <x:c r="I181" s="6" t="n">
        <x:f>G181-H181</x:f>
        <x:v>-120</x:v>
      </x:c>
      <x:c r="J181" t="str">
        <x:v>20240101_9129</x:v>
      </x:c>
    </x:row>
    <x:row r="182">
      <x:c r="A182" t="n">
        <x:v>692</x:v>
      </x:c>
      <x:c r="B182" t="n">
        <x:v>10121</x:v>
      </x:c>
      <x:c r="C182" s="8" t="n">
        <x:v>45576.5</x:v>
      </x:c>
      <x:c r="D182" t="str">
        <x:v>Voba87/2</x:v>
      </x:c>
      <x:c r="E182" t="str">
        <x:v>Voba87/2</x:v>
      </x:c>
      <x:c r="F182" t="str">
        <x:v>Piehofer Simon Rückerstattung</x:v>
      </x:c>
      <x:c r="G182" s="6" t="n">
        <x:v>120</x:v>
      </x:c>
      <x:c r="H182" s="6" t="n">
        <x:v>0</x:v>
      </x:c>
      <x:c r="I182" s="6" t="n">
        <x:f>G182-H182</x:f>
        <x:v>120</x:v>
      </x:c>
      <x:c r="J182" t="str">
        <x:v>20240101_9312</x:v>
      </x:c>
    </x:row>
    <x:row r="183">
      <x:c r="A183" t="n">
        <x:v>698</x:v>
      </x:c>
      <x:c r="B183" t="n">
        <x:v>10124</x:v>
      </x:c>
      <x:c r="C183" s="8" t="n">
        <x:v>45469.5</x:v>
      </x:c>
      <x:c r="D183" t="str">
        <x:v>2024239</x:v>
      </x:c>
      <x:c r="E183" t="str">
        <x:v>2024239</x:v>
      </x:c>
      <x:c r="F183" t="str">
        <x:v>Rahel Steiner</x:v>
      </x:c>
      <x:c r="G183" s="6" t="n">
        <x:v>799</x:v>
      </x:c>
      <x:c r="H183" s="6" t="n">
        <x:v>0</x:v>
      </x:c>
      <x:c r="I183" s="6" t="n">
        <x:f>G183-H183</x:f>
        <x:v>799</x:v>
      </x:c>
      <x:c r="J183" t="str">
        <x:v>20240101_9679</x:v>
      </x:c>
    </x:row>
    <x:row r="184">
      <x:c r="A184" t="n">
        <x:v>701</x:v>
      </x:c>
      <x:c r="B184" t="n">
        <x:v>10125</x:v>
      </x:c>
      <x:c r="C184" s="8" t="n">
        <x:v>45469.5</x:v>
      </x:c>
      <x:c r="D184" t="str">
        <x:v>2024240</x:v>
      </x:c>
      <x:c r="E184" t="str">
        <x:v>2024240</x:v>
      </x:c>
      <x:c r="F184" t="str">
        <x:v>Nadine Sauerländer</x:v>
      </x:c>
      <x:c r="G184" s="6" t="n">
        <x:v>320.4</x:v>
      </x:c>
      <x:c r="H184" s="6" t="n">
        <x:v>0</x:v>
      </x:c>
      <x:c r="I184" s="6" t="n">
        <x:f>G184-H184</x:f>
        <x:v>320.4</x:v>
      </x:c>
      <x:c r="J184" t="str">
        <x:v>20240101_9680</x:v>
      </x:c>
    </x:row>
    <x:row r="185">
      <x:c r="A185" t="n">
        <x:v>704</x:v>
      </x:c>
      <x:c r="B185" t="n">
        <x:v>10126</x:v>
      </x:c>
      <x:c r="C185" s="8" t="n">
        <x:v>45469.5</x:v>
      </x:c>
      <x:c r="D185" t="str">
        <x:v>2024241</x:v>
      </x:c>
      <x:c r="E185" t="str">
        <x:v>2024241</x:v>
      </x:c>
      <x:c r="F185" t="str">
        <x:v>Kornelia Neunteufl</x:v>
      </x:c>
      <x:c r="G185" s="6" t="n">
        <x:v>292</x:v>
      </x:c>
      <x:c r="H185" s="6" t="n">
        <x:v>0</x:v>
      </x:c>
      <x:c r="I185" s="6" t="n">
        <x:f>G185-H185</x:f>
        <x:v>292</x:v>
      </x:c>
      <x:c r="J185" t="str">
        <x:v>20240101_9681</x:v>
      </x:c>
    </x:row>
    <x:row r="186">
      <x:c r="A186" t="n">
        <x:v>729</x:v>
      </x:c>
      <x:c r="B186" t="n">
        <x:v>10134</x:v>
      </x:c>
      <x:c r="C186" s="8" t="n">
        <x:v>45511.5</x:v>
      </x:c>
      <x:c r="D186" t="str">
        <x:v>67/1</x:v>
      </x:c>
      <x:c r="E186" t="str">
        <x:v>67/1</x:v>
      </x:c>
      <x:c r="F186" t="str">
        <x:v>Umrechnung</x:v>
      </x:c>
      <x:c r="G186" s="6" t="n">
        <x:v>70</x:v>
      </x:c>
      <x:c r="H186" s="6" t="n">
        <x:v>0</x:v>
      </x:c>
      <x:c r="I186" s="6" t="n">
        <x:f>G186-H186</x:f>
        <x:v>70</x:v>
      </x:c>
      <x:c r="J186" t="str">
        <x:v>20240101_9692</x:v>
      </x:c>
    </x:row>
    <x:row r="187">
      <x:c r="A187" t="n">
        <x:v>732</x:v>
      </x:c>
      <x:c r="B187" t="n">
        <x:v>10135</x:v>
      </x:c>
      <x:c r="C187" s="8" t="n">
        <x:v>45483.5</x:v>
      </x:c>
      <x:c r="D187" t="str">
        <x:v>2024251</x:v>
      </x:c>
      <x:c r="E187" t="str">
        <x:v>2024251</x:v>
      </x:c>
      <x:c r="F187" t="str">
        <x:v>Niegel Frieda Christina</x:v>
      </x:c>
      <x:c r="G187" s="6" t="n">
        <x:v>16400</x:v>
      </x:c>
      <x:c r="H187" s="6" t="n">
        <x:v>0</x:v>
      </x:c>
      <x:c r="I187" s="6" t="n">
        <x:f>G187-H187</x:f>
        <x:v>16400</x:v>
      </x:c>
      <x:c r="J187" t="str">
        <x:v>20240101_9682</x:v>
      </x:c>
    </x:row>
    <x:row r="188">
      <x:c r="A188" t="n">
        <x:v>739</x:v>
      </x:c>
      <x:c r="B188" t="n">
        <x:v>10136</x:v>
      </x:c>
      <x:c r="C188" s="8" t="n">
        <x:v>45484.5</x:v>
      </x:c>
      <x:c r="D188" t="str">
        <x:v>Debi2024-252</x:v>
      </x:c>
      <x:c r="E188" t="str">
        <x:v>Debi2024-252</x:v>
      </x:c>
      <x:c r="F188" t="str">
        <x:v>Andrea Friedrich</x:v>
      </x:c>
      <x:c r="G188" s="6" t="n">
        <x:v>720</x:v>
      </x:c>
      <x:c r="H188" s="6" t="n">
        <x:v>0</x:v>
      </x:c>
      <x:c r="I188" s="6" t="n">
        <x:f>G188-H188</x:f>
        <x:v>720</x:v>
      </x:c>
      <x:c r="J188" t="str">
        <x:v>20240101_8966</x:v>
      </x:c>
    </x:row>
    <x:row r="189">
      <x:c r="A189" t="n">
        <x:v>740</x:v>
      </x:c>
      <x:c r="B189" t="n">
        <x:v>10137</x:v>
      </x:c>
      <x:c r="C189" s="8" t="n">
        <x:v>45489.5</x:v>
      </x:c>
      <x:c r="D189" t="str">
        <x:v>2024253</x:v>
      </x:c>
      <x:c r="E189" t="str">
        <x:v>2024253</x:v>
      </x:c>
      <x:c r="F189" t="str">
        <x:v>Schäfer Emmy</x:v>
      </x:c>
      <x:c r="G189" s="6" t="n">
        <x:v>9900</x:v>
      </x:c>
      <x:c r="H189" s="6" t="n">
        <x:v>0</x:v>
      </x:c>
      <x:c r="I189" s="6" t="n">
        <x:f>G189-H189</x:f>
        <x:v>9900</x:v>
      </x:c>
      <x:c r="J189" t="str">
        <x:v>20240101_9685</x:v>
      </x:c>
    </x:row>
    <x:row r="190">
      <x:c r="A190" t="n">
        <x:v>747</x:v>
      </x:c>
      <x:c r="B190" t="n">
        <x:v>10138</x:v>
      </x:c>
      <x:c r="C190" s="8" t="n">
        <x:v>45518.5</x:v>
      </x:c>
      <x:c r="D190" t="str">
        <x:v>Debi2024-280</x:v>
      </x:c>
      <x:c r="E190" t="str">
        <x:v>Debi2024-280</x:v>
      </x:c>
      <x:c r="F190" t="str">
        <x:v>Marielle Münchow</x:v>
      </x:c>
      <x:c r="G190" s="6" t="n">
        <x:v>452</x:v>
      </x:c>
      <x:c r="H190" s="6" t="n">
        <x:v>0</x:v>
      </x:c>
      <x:c r="I190" s="6" t="n">
        <x:f>G190-H190</x:f>
        <x:v>452</x:v>
      </x:c>
      <x:c r="J190" t="str">
        <x:v>20240101_9101</x:v>
      </x:c>
    </x:row>
    <x:row r="191">
      <x:c r="A191" t="n">
        <x:v>748</x:v>
      </x:c>
      <x:c r="B191" t="n">
        <x:v>10139</x:v>
      </x:c>
      <x:c r="C191" s="8" t="n">
        <x:v>45492.5</x:v>
      </x:c>
      <x:c r="D191" t="str">
        <x:v>Debi2024-256</x:v>
      </x:c>
      <x:c r="E191" t="str">
        <x:v>Debi2024-256</x:v>
      </x:c>
      <x:c r="F191" t="str">
        <x:v>Alexandre Berthault</x:v>
      </x:c>
      <x:c r="G191" s="6" t="n">
        <x:v>428</x:v>
      </x:c>
      <x:c r="H191" s="6" t="n">
        <x:v>0</x:v>
      </x:c>
      <x:c r="I191" s="6" t="n">
        <x:f>G191-H191</x:f>
        <x:v>428</x:v>
      </x:c>
      <x:c r="J191" t="str">
        <x:v>20240101_8984</x:v>
      </x:c>
    </x:row>
    <x:row r="192">
      <x:c r="A192" t="n">
        <x:v>749</x:v>
      </x:c>
      <x:c r="B192" t="n">
        <x:v>10139</x:v>
      </x:c>
      <x:c r="C192" s="8" t="n">
        <x:v>45495.5</x:v>
      </x:c>
      <x:c r="D192" t="str">
        <x:v>Voba60/1</x:v>
      </x:c>
      <x:c r="E192" t="str">
        <x:v>Voba60/1</x:v>
      </x:c>
      <x:c r="F192" t="str">
        <x:v>Francois Berthault 2024-256</x:v>
      </x:c>
      <x:c r="G192" s="6" t="n">
        <x:v>0</x:v>
      </x:c>
      <x:c r="H192" s="6" t="n">
        <x:v>278</x:v>
      </x:c>
      <x:c r="I192" s="6" t="n">
        <x:f>G192-H192</x:f>
        <x:v>-278</x:v>
      </x:c>
      <x:c r="J192" t="str">
        <x:v>20240101_8998</x:v>
      </x:c>
    </x:row>
    <x:row r="193">
      <x:c r="A193" t="n">
        <x:v>752</x:v>
      </x:c>
      <x:c r="B193" t="n">
        <x:v>10141</x:v>
      </x:c>
      <x:c r="C193" s="8" t="n">
        <x:v>45560.5</x:v>
      </x:c>
      <x:c r="D193" t="str">
        <x:v>2</x:v>
      </x:c>
      <x:c r="E193" t="str">
        <x:v>2</x:v>
      </x:c>
      <x:c r="F193" t="str">
        <x:v>Chung Kin Wu 2024-258</x:v>
      </x:c>
      <x:c r="G193" s="6" t="n">
        <x:v>0</x:v>
      </x:c>
      <x:c r="H193" s="6" t="n">
        <x:v>516.92</x:v>
      </x:c>
      <x:c r="I193" s="6" t="n">
        <x:f>G193-H193</x:f>
        <x:v>-516.92</x:v>
      </x:c>
      <x:c r="J193" t="str">
        <x:v>20240101_9729</x:v>
      </x:c>
    </x:row>
    <x:row r="194">
      <x:c r="A194" t="n">
        <x:v>755</x:v>
      </x:c>
      <x:c r="B194" t="n">
        <x:v>10142</x:v>
      </x:c>
      <x:c r="C194" s="8" t="n">
        <x:v>45496.5</x:v>
      </x:c>
      <x:c r="D194" t="str">
        <x:v>Debi2024-260</x:v>
      </x:c>
      <x:c r="E194" t="str">
        <x:v>Debi2024-260</x:v>
      </x:c>
      <x:c r="F194" t="str">
        <x:v>Akawung Moses</x:v>
      </x:c>
      <x:c r="G194" s="6" t="n">
        <x:v>441</x:v>
      </x:c>
      <x:c r="H194" s="6" t="n">
        <x:v>0</x:v>
      </x:c>
      <x:c r="I194" s="6" t="n">
        <x:f>G194-H194</x:f>
        <x:v>441</x:v>
      </x:c>
      <x:c r="J194" t="str">
        <x:v>20240101_9002</x:v>
      </x:c>
    </x:row>
    <x:row r="195">
      <x:c r="A195" t="n">
        <x:v>756</x:v>
      </x:c>
      <x:c r="B195" t="n">
        <x:v>10143</x:v>
      </x:c>
      <x:c r="C195" s="8" t="n">
        <x:v>45496.5</x:v>
      </x:c>
      <x:c r="D195" t="str">
        <x:v>Debi2024-261</x:v>
      </x:c>
      <x:c r="E195" t="str">
        <x:v>Debi2024-261</x:v>
      </x:c>
      <x:c r="F195" t="str">
        <x:v>Nicole Farrier</x:v>
      </x:c>
      <x:c r="G195" s="6" t="n">
        <x:v>477</x:v>
      </x:c>
      <x:c r="H195" s="6" t="n">
        <x:v>0</x:v>
      </x:c>
      <x:c r="I195" s="6" t="n">
        <x:f>G195-H195</x:f>
        <x:v>477</x:v>
      </x:c>
      <x:c r="J195" t="str">
        <x:v>20240101_9003</x:v>
      </x:c>
    </x:row>
    <x:row r="196">
      <x:c r="A196" t="n">
        <x:v>757</x:v>
      </x:c>
      <x:c r="B196" t="n">
        <x:v>10143</x:v>
      </x:c>
      <x:c r="C196" s="8" t="n">
        <x:v>45624.5</x:v>
      </x:c>
      <x:c r="D196" t="str">
        <x:v>Voba101/2</x:v>
      </x:c>
      <x:c r="E196" t="str">
        <x:v>Voba101/2</x:v>
      </x:c>
      <x:c r="F196" t="str">
        <x:v>Nicole Farrier</x:v>
      </x:c>
      <x:c r="G196" s="6" t="n">
        <x:v>0</x:v>
      </x:c>
      <x:c r="H196" s="6" t="n">
        <x:v>477</x:v>
      </x:c>
      <x:c r="I196" s="6" t="n">
        <x:f>G196-H196</x:f>
        <x:v>-477</x:v>
      </x:c>
      <x:c r="J196" t="str">
        <x:v>20240101_9482</x:v>
      </x:c>
    </x:row>
    <x:row r="197">
      <x:c r="A197" t="n">
        <x:v>758</x:v>
      </x:c>
      <x:c r="B197" t="n">
        <x:v>10143</x:v>
      </x:c>
      <x:c r="C197" s="8" t="n">
        <x:v>45643.5</x:v>
      </x:c>
      <x:c r="D197" t="str">
        <x:v>Voba108/2</x:v>
      </x:c>
      <x:c r="E197" t="str">
        <x:v>Voba108/2</x:v>
      </x:c>
      <x:c r="F197" t="str">
        <x:v>Nicole Farrier</x:v>
      </x:c>
      <x:c r="G197" s="6" t="n">
        <x:v>477</x:v>
      </x:c>
      <x:c r="H197" s="6" t="n">
        <x:v>0</x:v>
      </x:c>
      <x:c r="I197" s="6" t="n">
        <x:f>G197-H197</x:f>
        <x:v>477</x:v>
      </x:c>
      <x:c r="J197" t="str">
        <x:v>20240101_9553</x:v>
      </x:c>
    </x:row>
    <x:row r="198">
      <x:c r="A198" t="n">
        <x:v>759</x:v>
      </x:c>
      <x:c r="B198" t="n">
        <x:v>10144</x:v>
      </x:c>
      <x:c r="C198" s="8" t="n">
        <x:v>45509.5</x:v>
      </x:c>
      <x:c r="D198" t="str">
        <x:v>66/2</x:v>
      </x:c>
      <x:c r="E198" t="str">
        <x:v>66/2</x:v>
      </x:c>
      <x:c r="F198" t="str">
        <x:v>Haasis Silja 2024-262</x:v>
      </x:c>
      <x:c r="G198" s="6" t="n">
        <x:v>0</x:v>
      </x:c>
      <x:c r="H198" s="6" t="n">
        <x:v>198</x:v>
      </x:c>
      <x:c r="I198" s="6" t="n">
        <x:f>G198-H198</x:f>
        <x:v>-198</x:v>
      </x:c>
      <x:c r="J198" t="str">
        <x:v>20240101_9691</x:v>
      </x:c>
    </x:row>
    <x:row r="199">
      <x:c r="A199" t="n">
        <x:v>765</x:v>
      </x:c>
      <x:c r="B199" t="n">
        <x:v>10146</x:v>
      </x:c>
      <x:c r="C199" s="8" t="n">
        <x:v>45500.5</x:v>
      </x:c>
      <x:c r="D199" t="str">
        <x:v>2024264</x:v>
      </x:c>
      <x:c r="E199" t="str">
        <x:v>2024264</x:v>
      </x:c>
      <x:c r="F199" t="str">
        <x:v>Tokarzk Alexandria</x:v>
      </x:c>
      <x:c r="G199" s="6" t="n">
        <x:v>1594</x:v>
      </x:c>
      <x:c r="H199" s="6" t="n">
        <x:v>0</x:v>
      </x:c>
      <x:c r="I199" s="6" t="n">
        <x:f>G199-H199</x:f>
        <x:v>1594</x:v>
      </x:c>
      <x:c r="J199" t="str">
        <x:v>20240101_9688</x:v>
      </x:c>
    </x:row>
    <x:row r="200">
      <x:c r="A200" t="n">
        <x:v>770</x:v>
      </x:c>
      <x:c r="B200" t="n">
        <x:v>10147</x:v>
      </x:c>
      <x:c r="C200" s="8" t="n">
        <x:v>45504.5</x:v>
      </x:c>
      <x:c r="D200" t="str">
        <x:v>2024265</x:v>
      </x:c>
      <x:c r="E200" t="str">
        <x:v>2024265</x:v>
      </x:c>
      <x:c r="F200" t="str">
        <x:v>Zaki Alina</x:v>
      </x:c>
      <x:c r="G200" s="6" t="n">
        <x:v>1750</x:v>
      </x:c>
      <x:c r="H200" s="6" t="n">
        <x:v>0</x:v>
      </x:c>
      <x:c r="I200" s="6" t="n">
        <x:f>G200-H200</x:f>
        <x:v>1750</x:v>
      </x:c>
      <x:c r="J200" t="str">
        <x:v>20240101_9689</x:v>
      </x:c>
    </x:row>
    <x:row r="201">
      <x:c r="A201" t="n">
        <x:v>783</x:v>
      </x:c>
      <x:c r="B201" t="n">
        <x:v>10151</x:v>
      </x:c>
      <x:c r="C201" s="8" t="n">
        <x:v>45504.5</x:v>
      </x:c>
      <x:c r="D201" t="str">
        <x:v>2024269</x:v>
      </x:c>
      <x:c r="E201" t="str">
        <x:v>2024269</x:v>
      </x:c>
      <x:c r="F201" t="str">
        <x:v>Drahtschmidt Frauke</x:v>
      </x:c>
      <x:c r="G201" s="6" t="n">
        <x:v>414.4</x:v>
      </x:c>
      <x:c r="H201" s="6" t="n">
        <x:v>0</x:v>
      </x:c>
      <x:c r="I201" s="6" t="n">
        <x:f>G201-H201</x:f>
        <x:v>414.4</x:v>
      </x:c>
      <x:c r="J201" t="str">
        <x:v>20240101_9690</x:v>
      </x:c>
    </x:row>
    <x:row r="202">
      <x:c r="A202" t="n">
        <x:v>791</x:v>
      </x:c>
      <x:c r="B202" t="n">
        <x:v>10154</x:v>
      </x:c>
      <x:c r="C202" s="8" t="n">
        <x:v>45625.5</x:v>
      </x:c>
      <x:c r="D202" t="str">
        <x:v>2024-347</x:v>
      </x:c>
      <x:c r="E202" t="str">
        <x:v>2024-347</x:v>
      </x:c>
      <x:c r="F202" t="str">
        <x:v>Aleksei Tkachenko</x:v>
      </x:c>
      <x:c r="G202" s="6" t="n">
        <x:v>680</x:v>
      </x:c>
      <x:c r="H202" s="6" t="n">
        <x:v>0</x:v>
      </x:c>
      <x:c r="I202" s="6" t="n">
        <x:f>G202-H202</x:f>
        <x:v>680</x:v>
      </x:c>
      <x:c r="J202" t="str">
        <x:v>20240101_9770</x:v>
      </x:c>
    </x:row>
    <x:row r="203">
      <x:c r="A203" t="n">
        <x:v>800</x:v>
      </x:c>
      <x:c r="B203" t="n">
        <x:v>10154</x:v>
      </x:c>
      <x:c r="C203" s="8" t="n">
        <x:v>45630.5</x:v>
      </x:c>
      <x:c r="D203" t="str">
        <x:v>Debi2024-352</x:v>
      </x:c>
      <x:c r="E203" t="str">
        <x:v>Debi2024-352</x:v>
      </x:c>
      <x:c r="F203" t="str">
        <x:v>Aleksei Tkachenko</x:v>
      </x:c>
      <x:c r="G203" s="6" t="n">
        <x:v>90</x:v>
      </x:c>
      <x:c r="H203" s="6" t="n">
        <x:v>0</x:v>
      </x:c>
      <x:c r="I203" s="6" t="n">
        <x:f>G203-H203</x:f>
        <x:v>90</x:v>
      </x:c>
      <x:c r="J203" t="str">
        <x:v>20240101_9504</x:v>
      </x:c>
    </x:row>
    <x:row r="204">
      <x:c r="A204" t="n">
        <x:v>811</x:v>
      </x:c>
      <x:c r="B204" t="n">
        <x:v>10159</x:v>
      </x:c>
      <x:c r="C204" s="8" t="n">
        <x:v>45518.5</x:v>
      </x:c>
      <x:c r="D204" t="str">
        <x:v>2024279</x:v>
      </x:c>
      <x:c r="E204" t="str">
        <x:v>2024279</x:v>
      </x:c>
      <x:c r="F204" t="str">
        <x:v>Wothe / Reyes Emilio Leon</x:v>
      </x:c>
      <x:c r="G204" s="6" t="n">
        <x:v>13800</x:v>
      </x:c>
      <x:c r="H204" s="6" t="n">
        <x:v>0</x:v>
      </x:c>
      <x:c r="I204" s="6" t="n">
        <x:f>G204-H204</x:f>
        <x:v>13800</x:v>
      </x:c>
      <x:c r="J204" t="str">
        <x:v>20240101_9694</x:v>
      </x:c>
    </x:row>
    <x:row r="205">
      <x:c r="A205" t="n">
        <x:v>816</x:v>
      </x:c>
      <x:c r="B205" t="n">
        <x:v>10160</x:v>
      </x:c>
      <x:c r="C205" s="8" t="n">
        <x:v>45524.5</x:v>
      </x:c>
      <x:c r="D205" t="str">
        <x:v>2024281</x:v>
      </x:c>
      <x:c r="E205" t="str">
        <x:v>2024281</x:v>
      </x:c>
      <x:c r="F205" t="str">
        <x:v>Schindler Sophie</x:v>
      </x:c>
      <x:c r="G205" s="6" t="n">
        <x:v>2539</x:v>
      </x:c>
      <x:c r="H205" s="6" t="n">
        <x:v>0</x:v>
      </x:c>
      <x:c r="I205" s="6" t="n">
        <x:f>G205-H205</x:f>
        <x:v>2539</x:v>
      </x:c>
      <x:c r="J205" t="str">
        <x:v>20240101_9705</x:v>
      </x:c>
    </x:row>
    <x:row r="206">
      <x:c r="A206" t="n">
        <x:v>821</x:v>
      </x:c>
      <x:c r="B206" t="n">
        <x:v>10161</x:v>
      </x:c>
      <x:c r="C206" s="8" t="n">
        <x:v>45601.5</x:v>
      </x:c>
      <x:c r="D206" t="str">
        <x:v>0</x:v>
      </x:c>
      <x:c r="E206" t="str">
        <x:v>0</x:v>
      </x:c>
      <x:c r="F206" t="str">
        <x:v>Brittanne Macey 2024-282</x:v>
      </x:c>
      <x:c r="G206" s="6" t="n">
        <x:v>0</x:v>
      </x:c>
      <x:c r="H206" s="6" t="n">
        <x:v>345.6</x:v>
      </x:c>
      <x:c r="I206" s="6" t="n">
        <x:f>G206-H206</x:f>
        <x:v>-345.6</x:v>
      </x:c>
      <x:c r="J206" t="str">
        <x:v>20240101_9761</x:v>
      </x:c>
    </x:row>
    <x:row r="207">
      <x:c r="A207" t="n">
        <x:v>822</x:v>
      </x:c>
      <x:c r="B207" t="n">
        <x:v>10161</x:v>
      </x:c>
      <x:c r="C207" s="8" t="n">
        <x:v>45524.5</x:v>
      </x:c>
      <x:c r="D207" t="str">
        <x:v>Debi2024-282</x:v>
      </x:c>
      <x:c r="E207" t="str">
        <x:v>Debi2024-282</x:v>
      </x:c>
      <x:c r="F207" t="str">
        <x:v>Brittanne Macey</x:v>
      </x:c>
      <x:c r="G207" s="6" t="n">
        <x:v>432</x:v>
      </x:c>
      <x:c r="H207" s="6" t="n">
        <x:v>0</x:v>
      </x:c>
      <x:c r="I207" s="6" t="n">
        <x:f>G207-H207</x:f>
        <x:v>432</x:v>
      </x:c>
      <x:c r="J207" t="str">
        <x:v>20240101_9120</x:v>
      </x:c>
    </x:row>
    <x:row r="208">
      <x:c r="A208" t="n">
        <x:v>823</x:v>
      </x:c>
      <x:c r="B208" t="n">
        <x:v>10162</x:v>
      </x:c>
      <x:c r="C208" s="8" t="n">
        <x:v>45529.5</x:v>
      </x:c>
      <x:c r="D208" t="str">
        <x:v>1</x:v>
      </x:c>
      <x:c r="E208" t="str">
        <x:v>1</x:v>
      </x:c>
      <x:c r="F208" t="str">
        <x:v>Ford Simon 2024_283</x:v>
      </x:c>
      <x:c r="G208" s="6" t="n">
        <x:v>0</x:v>
      </x:c>
      <x:c r="H208" s="6" t="n">
        <x:v>532</x:v>
      </x:c>
      <x:c r="I208" s="6" t="n">
        <x:f>G208-H208</x:f>
        <x:v>-532</x:v>
      </x:c>
      <x:c r="J208" t="str">
        <x:v>20240101_9707</x:v>
      </x:c>
    </x:row>
    <x:row r="209">
      <x:c r="A209" t="n">
        <x:v>828</x:v>
      </x:c>
      <x:c r="B209" t="n">
        <x:v>10163</x:v>
      </x:c>
      <x:c r="C209" s="8" t="n">
        <x:v>45524.5</x:v>
      </x:c>
      <x:c r="D209" t="str">
        <x:v>Debi2024-284</x:v>
      </x:c>
      <x:c r="E209" t="str">
        <x:v>Debi2024-284</x:v>
      </x:c>
      <x:c r="F209" t="str">
        <x:v>Heloise Parent</x:v>
      </x:c>
      <x:c r="G209" s="6" t="n">
        <x:v>343.2</x:v>
      </x:c>
      <x:c r="H209" s="6" t="n">
        <x:v>0</x:v>
      </x:c>
      <x:c r="I209" s="6" t="n">
        <x:f>G209-H209</x:f>
        <x:v>343.2</x:v>
      </x:c>
      <x:c r="J209" t="str">
        <x:v>20240101_9122</x:v>
      </x:c>
    </x:row>
    <x:row r="210">
      <x:c r="A210" t="n">
        <x:v>835</x:v>
      </x:c>
      <x:c r="B210" t="n">
        <x:v>10166</x:v>
      </x:c>
      <x:c r="C210" s="8" t="n">
        <x:v>45528.5</x:v>
      </x:c>
      <x:c r="D210" t="str">
        <x:v>Debi2024-288</x:v>
      </x:c>
      <x:c r="E210" t="str">
        <x:v>Debi2024-288</x:v>
      </x:c>
      <x:c r="F210" t="str">
        <x:v>Sofie Korczak</x:v>
      </x:c>
      <x:c r="G210" s="6" t="n">
        <x:v>1726</x:v>
      </x:c>
      <x:c r="H210" s="6" t="n">
        <x:v>0</x:v>
      </x:c>
      <x:c r="I210" s="6" t="n">
        <x:f>G210-H210</x:f>
        <x:v>1726</x:v>
      </x:c>
      <x:c r="J210" t="str">
        <x:v>20240101_9139</x:v>
      </x:c>
    </x:row>
    <x:row r="211">
      <x:c r="A211" t="n">
        <x:v>838</x:v>
      </x:c>
      <x:c r="B211" t="n">
        <x:v>10168</x:v>
      </x:c>
      <x:c r="C211" s="8" t="n">
        <x:v>45542.5</x:v>
      </x:c>
      <x:c r="D211" t="str">
        <x:v>2024-291</x:v>
      </x:c>
      <x:c r="E211" t="str">
        <x:v>2024-291</x:v>
      </x:c>
      <x:c r="F211" t="str">
        <x:v>Feuster/Martinez Melina</x:v>
      </x:c>
      <x:c r="G211" s="6" t="n">
        <x:v>9490</x:v>
      </x:c>
      <x:c r="H211" s="6" t="n">
        <x:v>0</x:v>
      </x:c>
      <x:c r="I211" s="6" t="n">
        <x:f>G211-H211</x:f>
        <x:v>9490</x:v>
      </x:c>
      <x:c r="J211" t="str">
        <x:v>20240101_9715</x:v>
      </x:c>
    </x:row>
    <x:row r="212">
      <x:c r="A212" t="n">
        <x:v>841</x:v>
      </x:c>
      <x:c r="B212" t="n">
        <x:v>10169</x:v>
      </x:c>
      <x:c r="C212" s="8" t="n">
        <x:v>45542.5</x:v>
      </x:c>
      <x:c r="D212" t="str">
        <x:v>Debi2024-292</x:v>
      </x:c>
      <x:c r="E212" t="str">
        <x:v>Debi2024-292</x:v>
      </x:c>
      <x:c r="F212" t="str">
        <x:v>Malena Dury</x:v>
      </x:c>
      <x:c r="G212" s="6" t="n">
        <x:v>2090</x:v>
      </x:c>
      <x:c r="H212" s="6" t="n">
        <x:v>0</x:v>
      </x:c>
      <x:c r="I212" s="6" t="n">
        <x:f>G212-H212</x:f>
        <x:v>2090</x:v>
      </x:c>
      <x:c r="J212" t="str">
        <x:v>20240101_9194</x:v>
      </x:c>
    </x:row>
    <x:row r="213">
      <x:c r="A213" t="n">
        <x:v>842</x:v>
      </x:c>
      <x:c r="B213" t="n">
        <x:v>10169</x:v>
      </x:c>
      <x:c r="C213" s="8" t="n">
        <x:v>45635.5</x:v>
      </x:c>
      <x:c r="D213" t="str">
        <x:v>Voba105/2</x:v>
      </x:c>
      <x:c r="E213" t="str">
        <x:v>Voba105/2</x:v>
      </x:c>
      <x:c r="F213" t="str">
        <x:v>Malena Dury 2024-292</x:v>
      </x:c>
      <x:c r="G213" s="6" t="n">
        <x:v>0</x:v>
      </x:c>
      <x:c r="H213" s="6" t="n">
        <x:v>1742.32</x:v>
      </x:c>
      <x:c r="I213" s="6" t="n">
        <x:f>G213-H213</x:f>
        <x:v>-1742.32</x:v>
      </x:c>
      <x:c r="J213" t="str">
        <x:v>20240101_9519</x:v>
      </x:c>
    </x:row>
    <x:row r="214">
      <x:c r="A214" t="n">
        <x:v>843</x:v>
      </x:c>
      <x:c r="B214" t="n">
        <x:v>10169</x:v>
      </x:c>
      <x:c r="C214" s="8" t="n">
        <x:v>45551.5</x:v>
      </x:c>
      <x:c r="D214" t="str">
        <x:v>Voba75/3</x:v>
      </x:c>
      <x:c r="E214" t="str">
        <x:v>Voba75/3</x:v>
      </x:c>
      <x:c r="F214" t="str">
        <x:v>Malena Dury 2024-292</x:v>
      </x:c>
      <x:c r="G214" s="6" t="n">
        <x:v>0</x:v>
      </x:c>
      <x:c r="H214" s="6" t="n">
        <x:v>418</x:v>
      </x:c>
      <x:c r="I214" s="6" t="n">
        <x:f>G214-H214</x:f>
        <x:v>-418</x:v>
      </x:c>
      <x:c r="J214" t="str">
        <x:v>20240101_9217</x:v>
      </x:c>
    </x:row>
    <x:row r="215">
      <x:c r="A215" t="n">
        <x:v>844</x:v>
      </x:c>
      <x:c r="B215" t="n">
        <x:v>10170</x:v>
      </x:c>
      <x:c r="C215" s="8" t="n">
        <x:v>45542.5</x:v>
      </x:c>
      <x:c r="D215" t="str">
        <x:v>2024-293</x:v>
      </x:c>
      <x:c r="E215" t="str">
        <x:v>2024-293</x:v>
      </x:c>
      <x:c r="F215" t="str">
        <x:v>Van Bever Emma</x:v>
      </x:c>
      <x:c r="G215" s="6" t="n">
        <x:v>949</x:v>
      </x:c>
      <x:c r="H215" s="6" t="n">
        <x:v>0</x:v>
      </x:c>
      <x:c r="I215" s="6" t="n">
        <x:f>G215-H215</x:f>
        <x:v>949</x:v>
      </x:c>
      <x:c r="J215" t="str">
        <x:v>20240101_9714</x:v>
      </x:c>
    </x:row>
    <x:row r="216">
      <x:c r="A216" t="n">
        <x:v>849</x:v>
      </x:c>
      <x:c r="B216" t="n">
        <x:v>10171</x:v>
      </x:c>
      <x:c r="C216" s="8" t="n">
        <x:v>45551.5</x:v>
      </x:c>
      <x:c r="D216" t="str">
        <x:v>Debi2024-294</x:v>
      </x:c>
      <x:c r="E216" t="str">
        <x:v>Debi2024-294</x:v>
      </x:c>
      <x:c r="F216" t="str">
        <x:v>Sandra Oberle</x:v>
      </x:c>
      <x:c r="G216" s="6" t="n">
        <x:v>205.86</x:v>
      </x:c>
      <x:c r="H216" s="6" t="n">
        <x:v>0</x:v>
      </x:c>
      <x:c r="I216" s="6" t="n">
        <x:f>G216-H216</x:f>
        <x:v>205.86</x:v>
      </x:c>
      <x:c r="J216" t="str">
        <x:v>20240101_9213</x:v>
      </x:c>
    </x:row>
    <x:row r="217">
      <x:c r="A217" t="n">
        <x:v>852</x:v>
      </x:c>
      <x:c r="B217" t="n">
        <x:v>10173</x:v>
      </x:c>
      <x:c r="C217" s="8" t="n">
        <x:v>45551.5</x:v>
      </x:c>
      <x:c r="D217" t="str">
        <x:v>2024-296</x:v>
      </x:c>
      <x:c r="E217" t="str">
        <x:v>2024-296</x:v>
      </x:c>
      <x:c r="F217" t="str">
        <x:v>Klein Chiara Alisha</x:v>
      </x:c>
      <x:c r="G217" s="6" t="n">
        <x:v>527</x:v>
      </x:c>
      <x:c r="H217" s="6" t="n">
        <x:v>0</x:v>
      </x:c>
      <x:c r="I217" s="6" t="n">
        <x:f>G217-H217</x:f>
        <x:v>527</x:v>
      </x:c>
      <x:c r="J217" t="str">
        <x:v>20240101_9719</x:v>
      </x:c>
    </x:row>
    <x:row r="218">
      <x:c r="A218" t="n">
        <x:v>853</x:v>
      </x:c>
      <x:c r="B218" t="n">
        <x:v>10173</x:v>
      </x:c>
      <x:c r="C218" s="8" t="n">
        <x:v>45619.5</x:v>
      </x:c>
      <x:c r="D218" t="str">
        <x:v>2024-343</x:v>
      </x:c>
      <x:c r="E218" t="str">
        <x:v>2024-343</x:v>
      </x:c>
      <x:c r="F218" t="str">
        <x:v>Chiara Alisha Klein Wild Life Projekt</x:v>
      </x:c>
      <x:c r="G218" s="6" t="n">
        <x:v>330</x:v>
      </x:c>
      <x:c r="H218" s="6" t="n">
        <x:v>0</x:v>
      </x:c>
      <x:c r="I218" s="6" t="n">
        <x:f>G218-H218</x:f>
        <x:v>330</x:v>
      </x:c>
      <x:c r="J218" t="str">
        <x:v>20240101_9768</x:v>
      </x:c>
    </x:row>
    <x:row r="219">
      <x:c r="A219" t="n">
        <x:v>856</x:v>
      </x:c>
      <x:c r="B219" t="n">
        <x:v>10173</x:v>
      </x:c>
      <x:c r="C219" s="8" t="n">
        <x:v>45600.5</x:v>
      </x:c>
      <x:c r="D219" t="str">
        <x:v>Debi2024-332</x:v>
      </x:c>
      <x:c r="E219" t="str">
        <x:v>Debi2024-332</x:v>
      </x:c>
      <x:c r="F219" t="str">
        <x:v>Chiara Alisha Klein</x:v>
      </x:c>
      <x:c r="G219" s="6" t="n">
        <x:v>490</x:v>
      </x:c>
      <x:c r="H219" s="6" t="n">
        <x:v>0</x:v>
      </x:c>
      <x:c r="I219" s="6" t="n">
        <x:f>G219-H219</x:f>
        <x:v>490</x:v>
      </x:c>
      <x:c r="J219" t="str">
        <x:v>20240101_9388</x:v>
      </x:c>
    </x:row>
    <x:row r="220">
      <x:c r="A220" t="n">
        <x:v>857</x:v>
      </x:c>
      <x:c r="B220" t="n">
        <x:v>10173</x:v>
      </x:c>
      <x:c r="C220" s="8" t="n">
        <x:v>45619.5</x:v>
      </x:c>
      <x:c r="D220" t="str">
        <x:v>Debi2024-343</x:v>
      </x:c>
      <x:c r="E220" t="str">
        <x:v>Debi2024-343</x:v>
      </x:c>
      <x:c r="F220" t="str">
        <x:v>Chiara Alisha Klein</x:v>
      </x:c>
      <x:c r="G220" s="6" t="n">
        <x:v>300</x:v>
      </x:c>
      <x:c r="H220" s="6" t="n">
        <x:v>0</x:v>
      </x:c>
      <x:c r="I220" s="6" t="n">
        <x:f>G220-H220</x:f>
        <x:v>300</x:v>
      </x:c>
      <x:c r="J220" t="str">
        <x:v>20240101_9461</x:v>
      </x:c>
    </x:row>
    <x:row r="221">
      <x:c r="A221" t="n">
        <x:v>860</x:v>
      </x:c>
      <x:c r="B221" t="n">
        <x:v>10174</x:v>
      </x:c>
      <x:c r="C221" s="8" t="n">
        <x:v>45553.5</x:v>
      </x:c>
      <x:c r="D221" t="str">
        <x:v>2024-297</x:v>
      </x:c>
      <x:c r="E221" t="str">
        <x:v>2024-297</x:v>
      </x:c>
      <x:c r="F221" t="str">
        <x:v>Gillieron Estelle</x:v>
      </x:c>
      <x:c r="G221" s="6" t="n">
        <x:v>764</x:v>
      </x:c>
      <x:c r="H221" s="6" t="n">
        <x:v>0</x:v>
      </x:c>
      <x:c r="I221" s="6" t="n">
        <x:f>G221-H221</x:f>
        <x:v>764</x:v>
      </x:c>
      <x:c r="J221" t="str">
        <x:v>20240101_9723</x:v>
      </x:c>
    </x:row>
    <x:row r="222">
      <x:c r="A222" t="n">
        <x:v>861</x:v>
      </x:c>
      <x:c r="B222" t="n">
        <x:v>10174</x:v>
      </x:c>
      <x:c r="C222" s="8" t="n">
        <x:v>45621.5</x:v>
      </x:c>
      <x:c r="D222" t="str">
        <x:v>Debi2024-297</x:v>
      </x:c>
      <x:c r="E222" t="str">
        <x:v>Debi2024-297</x:v>
      </x:c>
      <x:c r="F222" t="str">
        <x:v>Estelle Gillieron</x:v>
      </x:c>
      <x:c r="G222" s="6" t="n">
        <x:v>550</x:v>
      </x:c>
      <x:c r="H222" s="6" t="n">
        <x:v>0</x:v>
      </x:c>
      <x:c r="I222" s="6" t="n">
        <x:f>G222-H222</x:f>
        <x:v>550</x:v>
      </x:c>
      <x:c r="J222" t="str">
        <x:v>20240101_9464</x:v>
      </x:c>
    </x:row>
    <x:row r="223">
      <x:c r="A223" t="n">
        <x:v>867</x:v>
      </x:c>
      <x:c r="B223" t="n">
        <x:v>10177</x:v>
      </x:c>
      <x:c r="C223" s="8" t="n">
        <x:v>45557.5</x:v>
      </x:c>
      <x:c r="D223" t="str">
        <x:v>2024300</x:v>
      </x:c>
      <x:c r="E223" t="str">
        <x:v>2024300</x:v>
      </x:c>
      <x:c r="F223" t="str">
        <x:v>Ela Centimese</x:v>
      </x:c>
      <x:c r="G223" s="6" t="n">
        <x:v>2569</x:v>
      </x:c>
      <x:c r="H223" s="6" t="n">
        <x:v>0</x:v>
      </x:c>
      <x:c r="I223" s="6" t="n">
        <x:f>G223-H223</x:f>
        <x:v>2569</x:v>
      </x:c>
      <x:c r="J223" t="str">
        <x:v>20240101_9726</x:v>
      </x:c>
    </x:row>
    <x:row r="224">
      <x:c r="A224" t="n">
        <x:v>870</x:v>
      </x:c>
      <x:c r="B224" t="n">
        <x:v>10177</x:v>
      </x:c>
      <x:c r="C224" s="8" t="n">
        <x:v>45628.5</x:v>
      </x:c>
      <x:c r="D224" t="str">
        <x:v>Voba103/2</x:v>
      </x:c>
      <x:c r="E224" t="str">
        <x:v>Voba103/2</x:v>
      </x:c>
      <x:c r="F224" t="str">
        <x:v>Cetinmese</x:v>
      </x:c>
      <x:c r="G224" s="6" t="n">
        <x:v>0</x:v>
      </x:c>
      <x:c r="H224" s="6" t="n">
        <x:v>2055.2</x:v>
      </x:c>
      <x:c r="I224" s="6" t="n">
        <x:f>G224-H224</x:f>
        <x:v>-2055.2</x:v>
      </x:c>
      <x:c r="J224" t="str">
        <x:v>20240101_9494</x:v>
      </x:c>
    </x:row>
    <x:row r="225">
      <x:c r="A225" t="n">
        <x:v>873</x:v>
      </x:c>
      <x:c r="B225" t="n">
        <x:v>10178</x:v>
      </x:c>
      <x:c r="C225" s="8" t="n">
        <x:v>45557.5</x:v>
      </x:c>
      <x:c r="D225" t="str">
        <x:v>Debi2024-301</x:v>
      </x:c>
      <x:c r="E225" t="str">
        <x:v>Debi2024-301</x:v>
      </x:c>
      <x:c r="F225" t="str">
        <x:v>Juliian Botschafter</x:v>
      </x:c>
      <x:c r="G225" s="6" t="n">
        <x:v>1850</x:v>
      </x:c>
      <x:c r="H225" s="6" t="n">
        <x:v>0</x:v>
      </x:c>
      <x:c r="I225" s="6" t="n">
        <x:f>G225-H225</x:f>
        <x:v>1850</x:v>
      </x:c>
      <x:c r="J225" t="str">
        <x:v>20240101_9232</x:v>
      </x:c>
    </x:row>
    <x:row r="226">
      <x:c r="A226" t="n">
        <x:v>874</x:v>
      </x:c>
      <x:c r="B226" t="n">
        <x:v>10178</x:v>
      </x:c>
      <x:c r="C226" s="8" t="n">
        <x:v>45566.5</x:v>
      </x:c>
      <x:c r="D226" t="str">
        <x:v>Voba82/1</x:v>
      </x:c>
      <x:c r="E226" t="str">
        <x:v>Voba82/1</x:v>
      </x:c>
      <x:c r="F226" t="str">
        <x:v>Julian Botschafter 2024-301</x:v>
      </x:c>
      <x:c r="G226" s="6" t="n">
        <x:v>0</x:v>
      </x:c>
      <x:c r="H226" s="6" t="n">
        <x:v>370</x:v>
      </x:c>
      <x:c r="I226" s="6" t="n">
        <x:f>G226-H226</x:f>
        <x:v>-370</x:v>
      </x:c>
      <x:c r="J226" t="str">
        <x:v>20240101_9272</x:v>
      </x:c>
    </x:row>
    <x:row r="227">
      <x:c r="A227" t="n">
        <x:v>875</x:v>
      </x:c>
      <x:c r="B227" t="n">
        <x:v>10179</x:v>
      </x:c>
      <x:c r="C227" s="8" t="n">
        <x:v>45557.5</x:v>
      </x:c>
      <x:c r="D227" t="str">
        <x:v>2024302</x:v>
      </x:c>
      <x:c r="E227" t="str">
        <x:v>2024302</x:v>
      </x:c>
      <x:c r="F227" t="str">
        <x:v>Annika Weiß</x:v>
      </x:c>
      <x:c r="G227" s="6" t="n">
        <x:v>3290</x:v>
      </x:c>
      <x:c r="H227" s="6" t="n">
        <x:v>0</x:v>
      </x:c>
      <x:c r="I227" s="6" t="n">
        <x:f>G227-H227</x:f>
        <x:v>3290</x:v>
      </x:c>
      <x:c r="J227" t="str">
        <x:v>20240101_9727</x:v>
      </x:c>
    </x:row>
    <x:row r="228">
      <x:c r="A228" t="n">
        <x:v>887</x:v>
      </x:c>
      <x:c r="B228" t="n">
        <x:v>10183</x:v>
      </x:c>
      <x:c r="C228" s="8" t="n">
        <x:v>45559.5</x:v>
      </x:c>
      <x:c r="D228" t="str">
        <x:v>2024306</x:v>
      </x:c>
      <x:c r="E228" t="str">
        <x:v>2024306</x:v>
      </x:c>
      <x:c r="F228" t="str">
        <x:v>Sonja Leiner</x:v>
      </x:c>
      <x:c r="G228" s="6" t="n">
        <x:v>1220</x:v>
      </x:c>
      <x:c r="H228" s="6" t="n">
        <x:v>0</x:v>
      </x:c>
      <x:c r="I228" s="6" t="n">
        <x:f>G228-H228</x:f>
        <x:v>1220</x:v>
      </x:c>
      <x:c r="J228" t="str">
        <x:v>20240101_9728</x:v>
      </x:c>
    </x:row>
    <x:row r="229">
      <x:c r="A229" t="n">
        <x:v>892</x:v>
      </x:c>
      <x:c r="B229" t="n">
        <x:v>10184</x:v>
      </x:c>
      <x:c r="C229" s="8" t="n">
        <x:v>45566.5</x:v>
      </x:c>
      <x:c r="D229" t="str">
        <x:v>2024307</x:v>
      </x:c>
      <x:c r="E229" t="str">
        <x:v>2024307</x:v>
      </x:c>
      <x:c r="F229" t="str">
        <x:v>Mila Janokowiak-Schneppenheim</x:v>
      </x:c>
      <x:c r="G229" s="6" t="n">
        <x:v>11100</x:v>
      </x:c>
      <x:c r="H229" s="6" t="n">
        <x:v>0</x:v>
      </x:c>
      <x:c r="I229" s="6" t="n">
        <x:f>G229-H229</x:f>
        <x:v>11100</x:v>
      </x:c>
      <x:c r="J229" t="str">
        <x:v>20240101_9734</x:v>
      </x:c>
    </x:row>
    <x:row r="230">
      <x:c r="A230" t="n">
        <x:v>903</x:v>
      </x:c>
      <x:c r="B230" t="n">
        <x:v>10187</x:v>
      </x:c>
      <x:c r="C230" s="8" t="n">
        <x:v>45575.5</x:v>
      </x:c>
      <x:c r="D230" t="str">
        <x:v>2024-311</x:v>
      </x:c>
      <x:c r="E230" t="str">
        <x:v>2024-311</x:v>
      </x:c>
      <x:c r="F230" t="str">
        <x:v>Amelie Grawe</x:v>
      </x:c>
      <x:c r="G230" s="6" t="n">
        <x:v>1260</x:v>
      </x:c>
      <x:c r="H230" s="6" t="n">
        <x:v>0</x:v>
      </x:c>
      <x:c r="I230" s="6" t="n">
        <x:f>G230-H230</x:f>
        <x:v>1260</x:v>
      </x:c>
      <x:c r="J230" t="str">
        <x:v>20240101_9743</x:v>
      </x:c>
    </x:row>
    <x:row r="231">
      <x:c r="A231" t="n">
        <x:v>928</x:v>
      </x:c>
      <x:c r="B231" t="n">
        <x:v>10195</x:v>
      </x:c>
      <x:c r="C231" s="8" t="n">
        <x:v>45593.5</x:v>
      </x:c>
      <x:c r="D231" t="str">
        <x:v>2024-323</x:v>
      </x:c>
      <x:c r="E231" t="str">
        <x:v>2024-323</x:v>
      </x:c>
      <x:c r="F231" t="str">
        <x:v>Becker Emily</x:v>
      </x:c>
      <x:c r="G231" s="6" t="n">
        <x:v>10550</x:v>
      </x:c>
      <x:c r="H231" s="6" t="n">
        <x:v>0</x:v>
      </x:c>
      <x:c r="I231" s="6" t="n">
        <x:f>G231-H231</x:f>
        <x:v>10550</x:v>
      </x:c>
      <x:c r="J231" t="str">
        <x:v>20240101_9752</x:v>
      </x:c>
    </x:row>
    <x:row r="232">
      <x:c r="A232" t="n">
        <x:v>933</x:v>
      </x:c>
      <x:c r="B232" t="n">
        <x:v>10196</x:v>
      </x:c>
      <x:c r="C232" s="8" t="n">
        <x:v>45595.5</x:v>
      </x:c>
      <x:c r="D232" t="str">
        <x:v>2024-325</x:v>
      </x:c>
      <x:c r="E232" t="str">
        <x:v>2024-325</x:v>
      </x:c>
      <x:c r="F232" t="str">
        <x:v>Loane Pages</x:v>
      </x:c>
      <x:c r="G232" s="6" t="n">
        <x:v>1990</x:v>
      </x:c>
      <x:c r="H232" s="6" t="n">
        <x:v>0</x:v>
      </x:c>
      <x:c r="I232" s="6" t="n">
        <x:f>G232-H232</x:f>
        <x:v>1990</x:v>
      </x:c>
      <x:c r="J232" t="str">
        <x:v>20240101_9756</x:v>
      </x:c>
    </x:row>
    <x:row r="233">
      <x:c r="A233" t="n">
        <x:v>942</x:v>
      </x:c>
      <x:c r="B233" t="n">
        <x:v>10200</x:v>
      </x:c>
      <x:c r="C233" s="8" t="n">
        <x:v>45601.5</x:v>
      </x:c>
      <x:c r="D233" t="str">
        <x:v>2</x:v>
      </x:c>
      <x:c r="E233" t="str">
        <x:v>2</x:v>
      </x:c>
      <x:c r="F233" t="str">
        <x:v>Christien LeBlanc 2024-329</x:v>
      </x:c>
      <x:c r="G233" s="6" t="n">
        <x:v>0</x:v>
      </x:c>
      <x:c r="H233" s="6" t="n">
        <x:v>1128</x:v>
      </x:c>
      <x:c r="I233" s="6" t="n">
        <x:f>G233-H233</x:f>
        <x:v>-1128</x:v>
      </x:c>
      <x:c r="J233" t="str">
        <x:v>20240101_9760</x:v>
      </x:c>
    </x:row>
    <x:row r="234">
      <x:c r="A234" t="n">
        <x:v>943</x:v>
      </x:c>
      <x:c r="B234" t="n">
        <x:v>10200</x:v>
      </x:c>
      <x:c r="C234" s="8" t="n">
        <x:v>44927.5</x:v>
      </x:c>
      <x:c r="D234" t="str">
        <x:v>117</x:v>
      </x:c>
      <x:c r="E234" t="str">
        <x:v>117</x:v>
      </x:c>
      <x:c r="F234" t="str">
        <x:v>couturier</x:v>
      </x:c>
      <x:c r="G234" s="6" t="n">
        <x:v>0</x:v>
      </x:c>
      <x:c r="H234" s="6" t="n">
        <x:v>265.2</x:v>
      </x:c>
      <x:c r="I234" s="6" t="n">
        <x:f>G234-H234</x:f>
        <x:v>-265.2</x:v>
      </x:c>
      <x:c r="J234" t="str">
        <x:v>20230101_3561</x:v>
      </x:c>
    </x:row>
    <x:row r="235">
      <x:c r="A235" t="n">
        <x:v>944</x:v>
      </x:c>
      <x:c r="B235" t="n">
        <x:v>10200</x:v>
      </x:c>
      <x:c r="C235" s="8" t="n">
        <x:v>44970.5</x:v>
      </x:c>
      <x:c r="D235" t="str">
        <x:v>140</x:v>
      </x:c>
      <x:c r="E235" t="str">
        <x:v>140</x:v>
      </x:c>
      <x:c r="F235" t="str">
        <x:v>Caldewei Costa Rica</x:v>
      </x:c>
      <x:c r="G235" s="6" t="n">
        <x:v>740</x:v>
      </x:c>
      <x:c r="H235" s="6" t="n">
        <x:v>0</x:v>
      </x:c>
      <x:c r="I235" s="6" t="n">
        <x:f>G235-H235</x:f>
        <x:v>740</x:v>
      </x:c>
      <x:c r="J235" t="str">
        <x:v>20230101_2566</x:v>
      </x:c>
    </x:row>
    <x:row r="236">
      <x:c r="A236" t="n">
        <x:v>945</x:v>
      </x:c>
      <x:c r="B236" t="n">
        <x:v>10200</x:v>
      </x:c>
      <x:c r="C236" s="8" t="n">
        <x:v>44977.5</x:v>
      </x:c>
      <x:c r="D236" t="str">
        <x:v>149</x:v>
      </x:c>
      <x:c r="E236" t="str">
        <x:v>149</x:v>
      </x:c>
      <x:c r="F236" t="str">
        <x:v>Caligaris, Mexico</x:v>
      </x:c>
      <x:c r="G236" s="6" t="n">
        <x:v>780</x:v>
      </x:c>
      <x:c r="H236" s="6" t="n">
        <x:v>0</x:v>
      </x:c>
      <x:c r="I236" s="6" t="n">
        <x:f>G236-H236</x:f>
        <x:v>780</x:v>
      </x:c>
      <x:c r="J236" t="str">
        <x:v>20230101_2588</x:v>
      </x:c>
    </x:row>
    <x:row r="237">
      <x:c r="A237" t="n">
        <x:v>946</x:v>
      </x:c>
      <x:c r="B237" t="n">
        <x:v>10200</x:v>
      </x:c>
      <x:c r="C237" s="8" t="n">
        <x:v>45004.5</x:v>
      </x:c>
      <x:c r="D237" t="str">
        <x:v>185</x:v>
      </x:c>
      <x:c r="E237" t="str">
        <x:v>185</x:v>
      </x:c>
      <x:c r="F237" t="str">
        <x:v>Cannavo, Costa Rica</x:v>
      </x:c>
      <x:c r="G237" s="6" t="n">
        <x:v>200</x:v>
      </x:c>
      <x:c r="H237" s="6" t="n">
        <x:v>0</x:v>
      </x:c>
      <x:c r="I237" s="6" t="n">
        <x:f>G237-H237</x:f>
        <x:v>200</x:v>
      </x:c>
      <x:c r="J237" t="str">
        <x:v>20230101_2699</x:v>
      </x:c>
    </x:row>
    <x:row r="238">
      <x:c r="A238" t="n">
        <x:v>947</x:v>
      </x:c>
      <x:c r="B238" t="n">
        <x:v>10200</x:v>
      </x:c>
      <x:c r="C238" s="8" t="n">
        <x:v>45000.5</x:v>
      </x:c>
      <x:c r="D238" t="str">
        <x:v>192</x:v>
      </x:c>
      <x:c r="E238" t="str">
        <x:v>192</x:v>
      </x:c>
      <x:c r="F238" t="str">
        <x:v>Carpentier, Mexico</x:v>
      </x:c>
      <x:c r="G238" s="6" t="n">
        <x:v>614</x:v>
      </x:c>
      <x:c r="H238" s="6" t="n">
        <x:v>0</x:v>
      </x:c>
      <x:c r="I238" s="6" t="n">
        <x:f>G238-H238</x:f>
        <x:v>614</x:v>
      </x:c>
      <x:c r="J238" t="str">
        <x:v>20230101_2680</x:v>
      </x:c>
    </x:row>
    <x:row r="239">
      <x:c r="A239" t="n">
        <x:v>948</x:v>
      </x:c>
      <x:c r="B239" t="n">
        <x:v>10200</x:v>
      </x:c>
      <x:c r="C239" s="8" t="n">
        <x:v>45000.5</x:v>
      </x:c>
      <x:c r="D239" t="str">
        <x:v>195</x:v>
      </x:c>
      <x:c r="E239" t="str">
        <x:v>195</x:v>
      </x:c>
      <x:c r="F239" t="str">
        <x:v>Cruveilher, Mexiko</x:v>
      </x:c>
      <x:c r="G239" s="6" t="n">
        <x:v>614</x:v>
      </x:c>
      <x:c r="H239" s="6" t="n">
        <x:v>0</x:v>
      </x:c>
      <x:c r="I239" s="6" t="n">
        <x:f>G239-H239</x:f>
        <x:v>614</x:v>
      </x:c>
      <x:c r="J239" t="str">
        <x:v>20230101_2683</x:v>
      </x:c>
    </x:row>
    <x:row r="240">
      <x:c r="A240" t="n">
        <x:v>949</x:v>
      </x:c>
      <x:c r="B240" t="n">
        <x:v>10200</x:v>
      </x:c>
      <x:c r="C240" s="8" t="n">
        <x:v>44927.5</x:v>
      </x:c>
      <x:c r="D240" t="str">
        <x:v>241</x:v>
      </x:c>
      <x:c r="E240" t="str">
        <x:v>241</x:v>
      </x:c>
      <x:c r="F240" t="str">
        <x:v>Vortragsaktualisierung</x:v>
      </x:c>
      <x:c r="G240" s="6" t="n">
        <x:v>9859.2</x:v>
      </x:c>
      <x:c r="H240" s="6" t="n">
        <x:v>0</x:v>
      </x:c>
      <x:c r="I240" s="6" t="n">
        <x:f>G240-H240</x:f>
        <x:v>9859.2</x:v>
      </x:c>
      <x:c r="J240" t="str">
        <x:v>20230101_2419</x:v>
      </x:c>
    </x:row>
    <x:row r="241">
      <x:c r="A241" t="n">
        <x:v>950</x:v>
      </x:c>
      <x:c r="B241" t="n">
        <x:v>10200</x:v>
      </x:c>
      <x:c r="C241" s="8" t="n">
        <x:v>44927.5</x:v>
      </x:c>
      <x:c r="D241" t="str">
        <x:v>249</x:v>
      </x:c>
      <x:c r="E241" t="str">
        <x:v>249</x:v>
      </x:c>
      <x:c r="F241" t="str">
        <x:v>coughlin</x:v>
      </x:c>
      <x:c r="G241" s="6" t="n">
        <x:v>0</x:v>
      </x:c>
      <x:c r="H241" s="6" t="n">
        <x:v>354</x:v>
      </x:c>
      <x:c r="I241" s="6" t="n">
        <x:f>G241-H241</x:f>
        <x:v>-354</x:v>
      </x:c>
      <x:c r="J241" t="str">
        <x:v>20230101_3562</x:v>
      </x:c>
    </x:row>
    <x:row r="242">
      <x:c r="A242" t="n">
        <x:v>951</x:v>
      </x:c>
      <x:c r="B242" t="n">
        <x:v>10200</x:v>
      </x:c>
      <x:c r="C242" s="8" t="n">
        <x:v>45058.5</x:v>
      </x:c>
      <x:c r="D242" t="str">
        <x:v>2023%277</x:v>
      </x:c>
      <x:c r="E242" t="str">
        <x:v>2023%277</x:v>
      </x:c>
      <x:c r="F242" t="str">
        <x:v>Charlotte Dölker</x:v>
      </x:c>
      <x:c r="G242" s="6" t="n">
        <x:v>615</x:v>
      </x:c>
      <x:c r="H242" s="6" t="n">
        <x:v>0</x:v>
      </x:c>
      <x:c r="I242" s="6" t="n">
        <x:f>G242-H242</x:f>
        <x:v>615</x:v>
      </x:c>
      <x:c r="J242" t="str">
        <x:v>20230101_2958</x:v>
      </x:c>
    </x:row>
    <x:row r="243">
      <x:c r="A243" t="n">
        <x:v>952</x:v>
      </x:c>
      <x:c r="B243" t="n">
        <x:v>10200</x:v>
      </x:c>
      <x:c r="C243" s="8" t="n">
        <x:v>45126.5</x:v>
      </x:c>
      <x:c r="D243" t="str">
        <x:v>2023%331</x:v>
      </x:c>
      <x:c r="E243" t="str">
        <x:v>2023%331</x:v>
      </x:c>
      <x:c r="F243" t="str">
        <x:v>Coy/Schmid</x:v>
      </x:c>
      <x:c r="G243" s="6" t="n">
        <x:v>855</x:v>
      </x:c>
      <x:c r="H243" s="6" t="n">
        <x:v>0</x:v>
      </x:c>
      <x:c r="I243" s="6" t="n">
        <x:f>G243-H243</x:f>
        <x:v>855</x:v>
      </x:c>
      <x:c r="J243" t="str">
        <x:v>20230101_3233</x:v>
      </x:c>
    </x:row>
    <x:row r="244">
      <x:c r="A244" t="n">
        <x:v>966</x:v>
      </x:c>
      <x:c r="B244" t="n">
        <x:v>10200</x:v>
      </x:c>
      <x:c r="C244" s="8" t="n">
        <x:v>45264.5</x:v>
      </x:c>
      <x:c r="D244" t="str">
        <x:v>2023%407</x:v>
      </x:c>
      <x:c r="E244" t="str">
        <x:v>2023%407</x:v>
      </x:c>
      <x:c r="F244" t="str">
        <x:v>Cetin</x:v>
      </x:c>
      <x:c r="G244" s="6" t="n">
        <x:v>3070</x:v>
      </x:c>
      <x:c r="H244" s="6" t="n">
        <x:v>0</x:v>
      </x:c>
      <x:c r="I244" s="6" t="n">
        <x:f>G244-H244</x:f>
        <x:v>3070</x:v>
      </x:c>
      <x:c r="J244" t="str">
        <x:v>20230101_3491</x:v>
      </x:c>
    </x:row>
    <x:row r="245">
      <x:c r="A245" t="n">
        <x:v>967</x:v>
      </x:c>
      <x:c r="B245" t="n">
        <x:v>10200</x:v>
      </x:c>
      <x:c r="C245" s="8" t="n">
        <x:v>45598.5</x:v>
      </x:c>
      <x:c r="D245" t="str">
        <x:v>Debi2024-329</x:v>
      </x:c>
      <x:c r="E245" t="str">
        <x:v>Debi2024-329</x:v>
      </x:c>
      <x:c r="F245" t="str">
        <x:v>Chrstien LeBlanc</x:v>
      </x:c>
      <x:c r="G245" s="6" t="n">
        <x:v>1128</x:v>
      </x:c>
      <x:c r="H245" s="6" t="n">
        <x:v>0</x:v>
      </x:c>
      <x:c r="I245" s="6" t="n">
        <x:f>G245-H245</x:f>
        <x:v>1128</x:v>
      </x:c>
      <x:c r="J245" t="str">
        <x:v>20240101_9384</x:v>
      </x:c>
    </x:row>
    <x:row r="246">
      <x:c r="A246" t="n">
        <x:v>968</x:v>
      </x:c>
      <x:c r="B246" t="n">
        <x:v>10200</x:v>
      </x:c>
      <x:c r="C246" s="8" t="n">
        <x:v>45570.5</x:v>
      </x:c>
      <x:c r="D246" t="str">
        <x:v>Paypal3</x:v>
      </x:c>
      <x:c r="E246" t="str">
        <x:v>Paypal3</x:v>
      </x:c>
      <x:c r="F246" t="str">
        <x:v>Eurodifferenz</x:v>
      </x:c>
      <x:c r="G246" s="6" t="n">
        <x:v>20</x:v>
      </x:c>
      <x:c r="H246" s="6" t="n">
        <x:v>0</x:v>
      </x:c>
      <x:c r="I246" s="6" t="n">
        <x:f>G246-H246</x:f>
        <x:v>20</x:v>
      </x:c>
      <x:c r="J246" t="str">
        <x:v>20240101_9283</x:v>
      </x:c>
    </x:row>
    <x:row r="247">
      <x:c r="A247" t="n">
        <x:v>969</x:v>
      </x:c>
      <x:c r="B247" t="n">
        <x:v>10200</x:v>
      </x:c>
      <x:c r="C247" s="8" t="n">
        <x:v>45570.5</x:v>
      </x:c>
      <x:c r="D247" t="str">
        <x:v>Paypal3</x:v>
      </x:c>
      <x:c r="E247" t="str">
        <x:v>Paypal3</x:v>
      </x:c>
      <x:c r="F247" t="str">
        <x:v>Christien Leblanc</x:v>
      </x:c>
      <x:c r="G247" s="6" t="n">
        <x:v>0</x:v>
      </x:c>
      <x:c r="H247" s="6" t="n">
        <x:v>1148</x:v>
      </x:c>
      <x:c r="I247" s="6" t="n">
        <x:f>G247-H247</x:f>
        <x:v>-1148</x:v>
      </x:c>
      <x:c r="J247" t="str">
        <x:v>20240101_9282</x:v>
      </x:c>
    </x:row>
    <x:row r="248">
      <x:c r="A248" t="n">
        <x:v>970</x:v>
      </x:c>
      <x:c r="B248" t="n">
        <x:v>10200</x:v>
      </x:c>
      <x:c r="C248" s="8" t="n">
        <x:v>44987.5</x:v>
      </x:c>
      <x:c r="D248" t="str">
        <x:v>VRNeu13/1</x:v>
      </x:c>
      <x:c r="E248" t="str">
        <x:v>VRNeu13/1</x:v>
      </x:c>
      <x:c r="F248" t="str">
        <x:v>Caligaris Greta 2023-149</x:v>
      </x:c>
      <x:c r="G248" s="6" t="n">
        <x:v>0</x:v>
      </x:c>
      <x:c r="H248" s="6" t="n">
        <x:v>156</x:v>
      </x:c>
      <x:c r="I248" s="6" t="n">
        <x:f>G248-H248</x:f>
        <x:v>-156</x:v>
      </x:c>
      <x:c r="J248" t="str">
        <x:v>20230101_2641</x:v>
      </x:c>
    </x:row>
    <x:row r="249">
      <x:c r="A249" t="n">
        <x:v>971</x:v>
      </x:c>
      <x:c r="B249" t="n">
        <x:v>10200</x:v>
      </x:c>
      <x:c r="C249" s="8" t="n">
        <x:v>45006.5</x:v>
      </x:c>
      <x:c r="D249" t="str">
        <x:v>VRNeu19/1</x:v>
      </x:c>
      <x:c r="E249" t="str">
        <x:v>VRNeu19/1</x:v>
      </x:c>
      <x:c r="F249" t="str">
        <x:v>Madita Coy 2022-248</x:v>
      </x:c>
      <x:c r="G249" s="6" t="n">
        <x:v>0</x:v>
      </x:c>
      <x:c r="H249" s="6" t="n">
        <x:v>2310</x:v>
      </x:c>
      <x:c r="I249" s="6" t="n">
        <x:f>G249-H249</x:f>
        <x:v>-2310</x:v>
      </x:c>
      <x:c r="J249" t="str">
        <x:v>20230101_2710</x:v>
      </x:c>
    </x:row>
    <x:row r="250">
      <x:c r="A250" t="n">
        <x:v>972</x:v>
      </x:c>
      <x:c r="B250" t="n">
        <x:v>10200</x:v>
      </x:c>
      <x:c r="C250" s="8" t="n">
        <x:v>45012.5</x:v>
      </x:c>
      <x:c r="D250" t="str">
        <x:v>VRNeu21/3</x:v>
      </x:c>
      <x:c r="E250" t="str">
        <x:v>VRNeu21/3</x:v>
      </x:c>
      <x:c r="F250" t="str">
        <x:v>Letizia Cannavo 203-187</x:v>
      </x:c>
      <x:c r="G250" s="6" t="n">
        <x:v>0</x:v>
      </x:c>
      <x:c r="H250" s="6" t="n">
        <x:v>200</x:v>
      </x:c>
      <x:c r="I250" s="6" t="n">
        <x:f>G250-H250</x:f>
        <x:v>-200</x:v>
      </x:c>
      <x:c r="J250" t="str">
        <x:v>20230101_2726</x:v>
      </x:c>
    </x:row>
    <x:row r="251">
      <x:c r="A251" t="n">
        <x:v>973</x:v>
      </x:c>
      <x:c r="B251" t="n">
        <x:v>10200</x:v>
      </x:c>
      <x:c r="C251" s="8" t="n">
        <x:v>45019.5</x:v>
      </x:c>
      <x:c r="D251" t="str">
        <x:v>VRNeu24/4</x:v>
      </x:c>
      <x:c r="E251" t="str">
        <x:v>VRNeu24/4</x:v>
      </x:c>
      <x:c r="F251" t="str">
        <x:v>Caldewei Meike 2023-140</x:v>
      </x:c>
      <x:c r="G251" s="6" t="n">
        <x:v>0</x:v>
      </x:c>
      <x:c r="H251" s="6" t="n">
        <x:v>592</x:v>
      </x:c>
      <x:c r="I251" s="6" t="n">
        <x:f>G251-H251</x:f>
        <x:v>-592</x:v>
      </x:c>
      <x:c r="J251" t="str">
        <x:v>20230101_2757</x:v>
      </x:c>
    </x:row>
    <x:row r="252">
      <x:c r="A252" t="n">
        <x:v>974</x:v>
      </x:c>
      <x:c r="B252" t="n">
        <x:v>10200</x:v>
      </x:c>
      <x:c r="C252" s="8" t="n">
        <x:v>45063.5</x:v>
      </x:c>
      <x:c r="D252" t="str">
        <x:v>VRNeu41/1</x:v>
      </x:c>
      <x:c r="E252" t="str">
        <x:v>VRNeu41/1</x:v>
      </x:c>
      <x:c r="F252" t="str">
        <x:v>Carpentier 2023_194</x:v>
      </x:c>
      <x:c r="G252" s="6" t="n">
        <x:v>0</x:v>
      </x:c>
      <x:c r="H252" s="6" t="n">
        <x:v>614</x:v>
      </x:c>
      <x:c r="I252" s="6" t="n">
        <x:f>G252-H252</x:f>
        <x:v>-614</x:v>
      </x:c>
      <x:c r="J252" t="str">
        <x:v>20230101_2977</x:v>
      </x:c>
    </x:row>
    <x:row r="253">
      <x:c r="A253" t="n">
        <x:v>975</x:v>
      </x:c>
      <x:c r="B253" t="n">
        <x:v>10200</x:v>
      </x:c>
      <x:c r="C253" s="8" t="n">
        <x:v>45063.5</x:v>
      </x:c>
      <x:c r="D253" t="str">
        <x:v>VRNeu41/2</x:v>
      </x:c>
      <x:c r="E253" t="str">
        <x:v>VRNeu41/2</x:v>
      </x:c>
      <x:c r="F253" t="str">
        <x:v>Cruveihler 2023_195</x:v>
      </x:c>
      <x:c r="G253" s="6" t="n">
        <x:v>0</x:v>
      </x:c>
      <x:c r="H253" s="6" t="n">
        <x:v>491.2</x:v>
      </x:c>
      <x:c r="I253" s="6" t="n">
        <x:f>G253-H253</x:f>
        <x:v>-491.2</x:v>
      </x:c>
      <x:c r="J253" t="str">
        <x:v>20230101_2980</x:v>
      </x:c>
    </x:row>
    <x:row r="254">
      <x:c r="A254" t="n">
        <x:v>976</x:v>
      </x:c>
      <x:c r="B254" t="n">
        <x:v>10200</x:v>
      </x:c>
      <x:c r="C254" s="8" t="n">
        <x:v>45070.5</x:v>
      </x:c>
      <x:c r="D254" t="str">
        <x:v>VRNeu43</x:v>
      </x:c>
      <x:c r="E254" t="str">
        <x:v>VRNeu43</x:v>
      </x:c>
      <x:c r="F254" t="str">
        <x:v>Cruveilher 2023_195</x:v>
      </x:c>
      <x:c r="G254" s="6" t="n">
        <x:v>0</x:v>
      </x:c>
      <x:c r="H254" s="6" t="n">
        <x:v>122.8</x:v>
      </x:c>
      <x:c r="I254" s="6" t="n">
        <x:f>G254-H254</x:f>
        <x:v>-122.8</x:v>
      </x:c>
      <x:c r="J254" t="str">
        <x:v>20230101_3006</x:v>
      </x:c>
    </x:row>
    <x:row r="255">
      <x:c r="A255" t="n">
        <x:v>977</x:v>
      </x:c>
      <x:c r="B255" t="n">
        <x:v>10200</x:v>
      </x:c>
      <x:c r="C255" s="8" t="n">
        <x:v>45111.5</x:v>
      </x:c>
      <x:c r="D255" t="str">
        <x:v>VRNeu52/2</x:v>
      </x:c>
      <x:c r="E255" t="str">
        <x:v>VRNeu52/2</x:v>
      </x:c>
      <x:c r="F255" t="str">
        <x:v>Caligaris 2023 149</x:v>
      </x:c>
      <x:c r="G255" s="6" t="n">
        <x:v>0</x:v>
      </x:c>
      <x:c r="H255" s="6" t="n">
        <x:v>624</x:v>
      </x:c>
      <x:c r="I255" s="6" t="n">
        <x:f>G255-H255</x:f>
        <x:v>-624</x:v>
      </x:c>
      <x:c r="J255" t="str">
        <x:v>20230101_3185</x:v>
      </x:c>
    </x:row>
    <x:row r="256">
      <x:c r="A256" t="n">
        <x:v>978</x:v>
      </x:c>
      <x:c r="B256" t="n">
        <x:v>10200</x:v>
      </x:c>
      <x:c r="C256" s="8" t="n">
        <x:v>45114.5</x:v>
      </x:c>
      <x:c r="D256" t="str">
        <x:v>VRNeu53/1</x:v>
      </x:c>
      <x:c r="E256" t="str">
        <x:v>VRNeu53/1</x:v>
      </x:c>
      <x:c r="F256" t="str">
        <x:v>Coy</x:v>
      </x:c>
      <x:c r="G256" s="6" t="n">
        <x:v>0</x:v>
      </x:c>
      <x:c r="H256" s="6" t="n">
        <x:v>4000</x:v>
      </x:c>
      <x:c r="I256" s="6" t="n">
        <x:f>G256-H256</x:f>
        <x:v>-4000</x:v>
      </x:c>
      <x:c r="J256" t="str">
        <x:v>20230101_3194</x:v>
      </x:c>
    </x:row>
    <x:row r="257">
      <x:c r="A257" t="n">
        <x:v>979</x:v>
      </x:c>
      <x:c r="B257" t="n">
        <x:v>10200</x:v>
      </x:c>
      <x:c r="C257" s="8" t="n">
        <x:v>45120.5</x:v>
      </x:c>
      <x:c r="D257" t="str">
        <x:v>VRNeu54/3</x:v>
      </x:c>
      <x:c r="E257" t="str">
        <x:v>VRNeu54/3</x:v>
      </x:c>
      <x:c r="F257" t="str">
        <x:v>Coy 248</x:v>
      </x:c>
      <x:c r="G257" s="6" t="n">
        <x:v>0</x:v>
      </x:c>
      <x:c r="H257" s="6" t="n">
        <x:v>2930</x:v>
      </x:c>
      <x:c r="I257" s="6" t="n">
        <x:f>G257-H257</x:f>
        <x:v>-2930</x:v>
      </x:c>
      <x:c r="J257" t="str">
        <x:v>20230101_3210</x:v>
      </x:c>
    </x:row>
    <x:row r="258">
      <x:c r="A258" t="n">
        <x:v>980</x:v>
      </x:c>
      <x:c r="B258" t="n">
        <x:v>10200</x:v>
      </x:c>
      <x:c r="C258" s="8" t="n">
        <x:v>45124.5</x:v>
      </x:c>
      <x:c r="D258" t="str">
        <x:v>VRNeu54/3</x:v>
      </x:c>
      <x:c r="E258" t="str">
        <x:v>VRNeu54/3</x:v>
      </x:c>
      <x:c r="F258" t="str">
        <x:v>Dölker</x:v>
      </x:c>
      <x:c r="G258" s="6" t="n">
        <x:v>0</x:v>
      </x:c>
      <x:c r="H258" s="6" t="n">
        <x:v>246</x:v>
      </x:c>
      <x:c r="I258" s="6" t="n">
        <x:f>G258-H258</x:f>
        <x:v>-246</x:v>
      </x:c>
      <x:c r="J258" t="str">
        <x:v>20230101_3215</x:v>
      </x:c>
    </x:row>
    <x:row r="259">
      <x:c r="A259" t="n">
        <x:v>981</x:v>
      </x:c>
      <x:c r="B259" t="n">
        <x:v>10200</x:v>
      </x:c>
      <x:c r="C259" s="8" t="n">
        <x:v>44977.5</x:v>
      </x:c>
      <x:c r="D259" t="str">
        <x:v>VRNeu9/3</x:v>
      </x:c>
      <x:c r="E259" t="str">
        <x:v>VRNeu9/3</x:v>
      </x:c>
      <x:c r="F259" t="str">
        <x:v>Meike Caldewei 2023-140</x:v>
      </x:c>
      <x:c r="G259" s="6" t="n">
        <x:v>0</x:v>
      </x:c>
      <x:c r="H259" s="6" t="n">
        <x:v>148</x:v>
      </x:c>
      <x:c r="I259" s="6" t="n">
        <x:f>G259-H259</x:f>
        <x:v>-148</x:v>
      </x:c>
      <x:c r="J259" t="str">
        <x:v>20230101_2595</x:v>
      </x:c>
    </x:row>
    <x:row r="260">
      <x:c r="A260" t="n">
        <x:v>984</x:v>
      </x:c>
      <x:c r="B260" t="n">
        <x:v>10202</x:v>
      </x:c>
      <x:c r="C260" s="8" t="n">
        <x:v>45602.5</x:v>
      </x:c>
      <x:c r="D260" t="str">
        <x:v>2024-334</x:v>
      </x:c>
      <x:c r="E260" t="str">
        <x:v>2024-334</x:v>
      </x:c>
      <x:c r="F260" t="str">
        <x:v>Lars Philipp Matzke</x:v>
      </x:c>
      <x:c r="G260" s="6" t="n">
        <x:v>8260</x:v>
      </x:c>
      <x:c r="H260" s="6" t="n">
        <x:v>0</x:v>
      </x:c>
      <x:c r="I260" s="6" t="n">
        <x:f>G260-H260</x:f>
        <x:v>8260</x:v>
      </x:c>
      <x:c r="J260" t="str">
        <x:v>20240101_9762</x:v>
      </x:c>
    </x:row>
    <x:row r="261">
      <x:c r="A261" t="n">
        <x:v>989</x:v>
      </x:c>
      <x:c r="B261" t="n">
        <x:v>10203</x:v>
      </x:c>
      <x:c r="C261" s="8" t="n">
        <x:v>45602.5</x:v>
      </x:c>
      <x:c r="D261" t="str">
        <x:v>2024-335</x:v>
      </x:c>
      <x:c r="E261" t="str">
        <x:v>2024-335</x:v>
      </x:c>
      <x:c r="F261" t="str">
        <x:v>Noemi Talina Holenstein</x:v>
      </x:c>
      <x:c r="G261" s="6" t="n">
        <x:v>10845</x:v>
      </x:c>
      <x:c r="H261" s="6" t="n">
        <x:v>0</x:v>
      </x:c>
      <x:c r="I261" s="6" t="n">
        <x:f>G261-H261</x:f>
        <x:v>10845</x:v>
      </x:c>
      <x:c r="J261" t="str">
        <x:v>20240101_9763</x:v>
      </x:c>
    </x:row>
    <x:row r="262">
      <x:c r="A262" t="n">
        <x:v>994</x:v>
      </x:c>
      <x:c r="B262" t="n">
        <x:v>10204</x:v>
      </x:c>
      <x:c r="C262" s="8" t="n">
        <x:v>45607.5</x:v>
      </x:c>
      <x:c r="D262" t="str">
        <x:v>Debi2024-336</x:v>
      </x:c>
      <x:c r="E262" t="str">
        <x:v>Debi2024-336</x:v>
      </x:c>
      <x:c r="F262" t="str">
        <x:v>Ivana Forde</x:v>
      </x:c>
      <x:c r="G262" s="6" t="n">
        <x:v>1120</x:v>
      </x:c>
      <x:c r="H262" s="6" t="n">
        <x:v>0</x:v>
      </x:c>
      <x:c r="I262" s="6" t="n">
        <x:f>G262-H262</x:f>
        <x:v>1120</x:v>
      </x:c>
      <x:c r="J262" t="str">
        <x:v>20240101_9415</x:v>
      </x:c>
    </x:row>
    <x:row r="263">
      <x:c r="A263" t="n">
        <x:v>997</x:v>
      </x:c>
      <x:c r="B263" t="n">
        <x:v>10206</x:v>
      </x:c>
      <x:c r="C263" s="8" t="n">
        <x:v>45611.5</x:v>
      </x:c>
      <x:c r="D263" t="str">
        <x:v>2024-338</x:v>
      </x:c>
      <x:c r="E263" t="str">
        <x:v>2024-338</x:v>
      </x:c>
      <x:c r="F263" t="str">
        <x:v>Annalinda Klein</x:v>
      </x:c>
      <x:c r="G263" s="6" t="n">
        <x:v>1350</x:v>
      </x:c>
      <x:c r="H263" s="6" t="n">
        <x:v>0</x:v>
      </x:c>
      <x:c r="I263" s="6" t="n">
        <x:f>G263-H263</x:f>
        <x:v>1350</x:v>
      </x:c>
      <x:c r="J263" t="str">
        <x:v>20240101_9765</x:v>
      </x:c>
    </x:row>
    <x:row r="264">
      <x:c r="A264" t="n">
        <x:v>1003</x:v>
      </x:c>
      <x:c r="B264" t="n">
        <x:v>10208</x:v>
      </x:c>
      <x:c r="C264" s="8" t="n">
        <x:v>45619.5</x:v>
      </x:c>
      <x:c r="D264" t="str">
        <x:v>2024-344</x:v>
      </x:c>
      <x:c r="E264" t="str">
        <x:v>2024-344</x:v>
      </x:c>
      <x:c r="F264" t="str">
        <x:v>Katharina Jung</x:v>
      </x:c>
      <x:c r="G264" s="6" t="n">
        <x:v>6349</x:v>
      </x:c>
      <x:c r="H264" s="6" t="n">
        <x:v>0</x:v>
      </x:c>
      <x:c r="I264" s="6" t="n">
        <x:f>G264-H264</x:f>
        <x:v>6349</x:v>
      </x:c>
      <x:c r="J264" t="str">
        <x:v>20240101_9766</x:v>
      </x:c>
    </x:row>
    <x:row r="265">
      <x:c r="A265" t="n">
        <x:v>1011</x:v>
      </x:c>
      <x:c r="B265" t="n">
        <x:v>10210</x:v>
      </x:c>
      <x:c r="C265" s="8" t="n">
        <x:v>45625.5</x:v>
      </x:c>
      <x:c r="D265" t="str">
        <x:v>2024-346</x:v>
      </x:c>
      <x:c r="E265" t="str">
        <x:v>2024-346</x:v>
      </x:c>
      <x:c r="F265" t="str">
        <x:v>Freja Schuldt</x:v>
      </x:c>
      <x:c r="G265" s="6" t="n">
        <x:v>370</x:v>
      </x:c>
      <x:c r="H265" s="6" t="n">
        <x:v>0</x:v>
      </x:c>
      <x:c r="I265" s="6" t="n">
        <x:f>G265-H265</x:f>
        <x:v>370</x:v>
      </x:c>
      <x:c r="J265" t="str">
        <x:v>20240101_9772</x:v>
      </x:c>
    </x:row>
    <x:row r="266">
      <x:c r="A266" t="n">
        <x:v>1014</x:v>
      </x:c>
      <x:c r="B266" t="n">
        <x:v>10211</x:v>
      </x:c>
      <x:c r="C266" s="8" t="n">
        <x:v>45629.5</x:v>
      </x:c>
      <x:c r="D266" t="str">
        <x:v>2024-348</x:v>
      </x:c>
      <x:c r="E266" t="str">
        <x:v>2024-348</x:v>
      </x:c>
      <x:c r="F266" t="str">
        <x:v>Julian Schupp</x:v>
      </x:c>
      <x:c r="G266" s="6" t="n">
        <x:v>3470</x:v>
      </x:c>
      <x:c r="H266" s="6" t="n">
        <x:v>0</x:v>
      </x:c>
      <x:c r="I266" s="6" t="n">
        <x:f>G266-H266</x:f>
        <x:v>3470</x:v>
      </x:c>
      <x:c r="J266" t="str">
        <x:v>20240101_9776</x:v>
      </x:c>
    </x:row>
    <x:row r="267">
      <x:c r="A267" t="n">
        <x:v>1019</x:v>
      </x:c>
      <x:c r="B267" t="n">
        <x:v>10212</x:v>
      </x:c>
      <x:c r="C267" s="8" t="n">
        <x:v>45638.5</x:v>
      </x:c>
      <x:c r="D267" t="str">
        <x:v>2024-353</x:v>
      </x:c>
      <x:c r="E267" t="str">
        <x:v>2024-353</x:v>
      </x:c>
      <x:c r="F267" t="str">
        <x:v>Constantin Mertens</x:v>
      </x:c>
      <x:c r="G267" s="6" t="n">
        <x:v>544</x:v>
      </x:c>
      <x:c r="H267" s="6" t="n">
        <x:v>0</x:v>
      </x:c>
      <x:c r="I267" s="6" t="n">
        <x:f>G267-H267</x:f>
        <x:v>544</x:v>
      </x:c>
      <x:c r="J267" t="str">
        <x:v>20240101_9784</x:v>
      </x:c>
    </x:row>
    <x:row r="268">
      <x:c r="A268" t="n">
        <x:v>1024</x:v>
      </x:c>
      <x:c r="B268" t="n">
        <x:v>10213</x:v>
      </x:c>
      <x:c r="C268" s="8" t="n">
        <x:v>45642.5</x:v>
      </x:c>
      <x:c r="D268" t="str">
        <x:v>2024-354</x:v>
      </x:c>
      <x:c r="E268" t="str">
        <x:v>2024-354</x:v>
      </x:c>
      <x:c r="F268" t="str">
        <x:v>Luis Schley</x:v>
      </x:c>
      <x:c r="G268" s="6" t="n">
        <x:v>1291</x:v>
      </x:c>
      <x:c r="H268" s="6" t="n">
        <x:v>0</x:v>
      </x:c>
      <x:c r="I268" s="6" t="n">
        <x:f>G268-H268</x:f>
        <x:v>1291</x:v>
      </x:c>
      <x:c r="J268" t="str">
        <x:v>20240101_9785</x:v>
      </x:c>
    </x:row>
    <x:row r="269">
      <x:c r="A269" t="n">
        <x:v>1025</x:v>
      </x:c>
      <x:c r="B269" t="n">
        <x:v>10213</x:v>
      </x:c>
      <x:c r="C269" s="8" t="n">
        <x:v>45638.5</x:v>
      </x:c>
      <x:c r="D269" t="str">
        <x:v>Debi2024-354</x:v>
      </x:c>
      <x:c r="E269" t="str">
        <x:v>Debi2024-354</x:v>
      </x:c>
      <x:c r="F269" t="str">
        <x:v>Luis Schley</x:v>
      </x:c>
      <x:c r="G269" s="6" t="n">
        <x:v>1291</x:v>
      </x:c>
      <x:c r="H269" s="6" t="n">
        <x:v>0</x:v>
      </x:c>
      <x:c r="I269" s="6" t="n">
        <x:f>G269-H269</x:f>
        <x:v>1291</x:v>
      </x:c>
      <x:c r="J269" t="str">
        <x:v>20240101_9529</x:v>
      </x:c>
    </x:row>
    <x:row r="270">
      <x:c r="A270" t="n">
        <x:v>1026</x:v>
      </x:c>
      <x:c r="B270" t="n">
        <x:v>10214</x:v>
      </x:c>
      <x:c r="C270" s="8" t="n">
        <x:v>45642.5</x:v>
      </x:c>
      <x:c r="D270" t="str">
        <x:v>2024-355</x:v>
      </x:c>
      <x:c r="E270" t="str">
        <x:v>2024-355</x:v>
      </x:c>
      <x:c r="F270" t="str">
        <x:v>Annika Glassl</x:v>
      </x:c>
      <x:c r="G270" s="6" t="n">
        <x:v>780</x:v>
      </x:c>
      <x:c r="H270" s="6" t="n">
        <x:v>0</x:v>
      </x:c>
      <x:c r="I270" s="6" t="n">
        <x:f>G270-H270</x:f>
        <x:v>780</x:v>
      </x:c>
      <x:c r="J270" t="str">
        <x:v>20240101_9787</x:v>
      </x:c>
    </x:row>
    <x:row r="271">
      <x:c r="A271" t="n">
        <x:v>1029</x:v>
      </x:c>
      <x:c r="B271" t="n">
        <x:v>10215</x:v>
      </x:c>
      <x:c r="C271" s="8" t="n">
        <x:v>45642.5</x:v>
      </x:c>
      <x:c r="D271" t="str">
        <x:v>2024-356</x:v>
      </x:c>
      <x:c r="E271" t="str">
        <x:v>2024-356</x:v>
      </x:c>
      <x:c r="F271" t="str">
        <x:v>Erik Bauer</x:v>
      </x:c>
      <x:c r="G271" s="6" t="n">
        <x:v>3240</x:v>
      </x:c>
      <x:c r="H271" s="6" t="n">
        <x:v>0</x:v>
      </x:c>
      <x:c r="I271" s="6" t="n">
        <x:f>G271-H271</x:f>
        <x:v>3240</x:v>
      </x:c>
      <x:c r="J271" t="str">
        <x:v>20240101_9786</x:v>
      </x:c>
    </x:row>
    <x:row r="272">
      <x:c r="A272" t="n">
        <x:v>1034</x:v>
      </x:c>
      <x:c r="B272" t="n">
        <x:v>10216</x:v>
      </x:c>
      <x:c r="C272" s="8" t="n">
        <x:v>45645.5</x:v>
      </x:c>
      <x:c r="D272" t="str">
        <x:v>2024-357</x:v>
      </x:c>
      <x:c r="E272" t="str">
        <x:v>2024-357</x:v>
      </x:c>
      <x:c r="F272" t="str">
        <x:v>Mina Hathiramani</x:v>
      </x:c>
      <x:c r="G272" s="6" t="n">
        <x:v>9900</x:v>
      </x:c>
      <x:c r="H272" s="6" t="n">
        <x:v>0</x:v>
      </x:c>
      <x:c r="I272" s="6" t="n">
        <x:f>G272-H272</x:f>
        <x:v>9900</x:v>
      </x:c>
      <x:c r="J272" t="str">
        <x:v>20240101_9791</x:v>
      </x:c>
    </x:row>
    <x:row r="273">
      <x:c r="A273" t="n">
        <x:v>1037</x:v>
      </x:c>
      <x:c r="B273" t="n">
        <x:v>10217</x:v>
      </x:c>
      <x:c r="C273" s="8" t="n">
        <x:v>45645.5</x:v>
      </x:c>
      <x:c r="D273" t="str">
        <x:v>Debi2024-359</x:v>
      </x:c>
      <x:c r="E273" t="str">
        <x:v>Debi2024-359</x:v>
      </x:c>
      <x:c r="F273" t="str">
        <x:v>Luca Finn Kapoor</x:v>
      </x:c>
      <x:c r="G273" s="6" t="n">
        <x:v>1382</x:v>
      </x:c>
      <x:c r="H273" s="6" t="n">
        <x:v>0</x:v>
      </x:c>
      <x:c r="I273" s="6" t="n">
        <x:f>G273-H273</x:f>
        <x:v>1382</x:v>
      </x:c>
      <x:c r="J273" t="str">
        <x:v>20240101_9560</x:v>
      </x:c>
    </x:row>
    <x:row r="274">
      <x:c r="A274" t="n">
        <x:v>1038</x:v>
      </x:c>
      <x:c r="B274" t="n">
        <x:v>10218</x:v>
      </x:c>
      <x:c r="C274" s="8" t="n">
        <x:v>45653.5</x:v>
      </x:c>
      <x:c r="D274" t="str">
        <x:v>2024-360</x:v>
      </x:c>
      <x:c r="E274" t="str">
        <x:v>2024-360</x:v>
      </x:c>
      <x:c r="F274" t="str">
        <x:v>Minou Liebmann</x:v>
      </x:c>
      <x:c r="G274" s="6" t="n">
        <x:v>8100</x:v>
      </x:c>
      <x:c r="H274" s="6" t="n">
        <x:v>0</x:v>
      </x:c>
      <x:c r="I274" s="6" t="n">
        <x:f>G274-H274</x:f>
        <x:v>8100</x:v>
      </x:c>
      <x:c r="J274" t="str">
        <x:v>20240101_9795</x:v>
      </x:c>
    </x:row>
    <x:row r="275">
      <x:c r="A275" t="n">
        <x:v>1041</x:v>
      </x:c>
      <x:c r="B275" t="n">
        <x:v>10219</x:v>
      </x:c>
      <x:c r="C275" s="8" t="n">
        <x:v>45654.5</x:v>
      </x:c>
      <x:c r="D275" t="str">
        <x:v>2024-361</x:v>
      </x:c>
      <x:c r="E275" t="str">
        <x:v>2024-361</x:v>
      </x:c>
      <x:c r="F275" t="str">
        <x:v>Mara Noll</x:v>
      </x:c>
      <x:c r="G275" s="6" t="n">
        <x:v>3850</x:v>
      </x:c>
      <x:c r="H275" s="6" t="n">
        <x:v>0</x:v>
      </x:c>
      <x:c r="I275" s="6" t="n">
        <x:f>G275-H275</x:f>
        <x:v>3850</x:v>
      </x:c>
      <x:c r="J275" t="str">
        <x:v>20240101_9797</x:v>
      </x:c>
    </x:row>
    <x:row r="276">
      <x:c r="A276" t="n">
        <x:v>1044</x:v>
      </x:c>
      <x:c r="B276" t="n">
        <x:v>10220</x:v>
      </x:c>
      <x:c r="C276" s="8" t="n">
        <x:v>45654.5</x:v>
      </x:c>
      <x:c r="D276" t="str">
        <x:v>Debi2024-362</x:v>
      </x:c>
      <x:c r="E276" t="str">
        <x:v>Debi2024-362</x:v>
      </x:c>
      <x:c r="F276" t="str">
        <x:v>Maya Buhl</x:v>
      </x:c>
      <x:c r="G276" s="6" t="n">
        <x:v>427</x:v>
      </x:c>
      <x:c r="H276" s="6" t="n">
        <x:v>0</x:v>
      </x:c>
      <x:c r="I276" s="6" t="n">
        <x:f>G276-H276</x:f>
        <x:v>427</x:v>
      </x:c>
      <x:c r="J276" t="str">
        <x:v>20240101_9587</x:v>
      </x:c>
    </x:row>
    <x:row r="277">
      <x:c r="A277" t="n">
        <x:v>1045</x:v>
      </x:c>
      <x:c r="B277" t="n">
        <x:v>10221</x:v>
      </x:c>
      <x:c r="C277" s="8" t="n">
        <x:v>45654.5</x:v>
      </x:c>
      <x:c r="D277" t="str">
        <x:v>Debi2024-363</x:v>
      </x:c>
      <x:c r="E277" t="str">
        <x:v>Debi2024-363</x:v>
      </x:c>
      <x:c r="F277" t="str">
        <x:v>Léo-Paul Cord'homme</x:v>
      </x:c>
      <x:c r="G277" s="6" t="n">
        <x:v>815</x:v>
      </x:c>
      <x:c r="H277" s="6" t="n">
        <x:v>0</x:v>
      </x:c>
      <x:c r="I277" s="6" t="n">
        <x:f>G277-H277</x:f>
        <x:v>815</x:v>
      </x:c>
      <x:c r="J277" t="str">
        <x:v>20240101_9588</x:v>
      </x:c>
    </x:row>
    <x:row r="278">
      <x:c r="A278" t="n">
        <x:v>1046</x:v>
      </x:c>
      <x:c r="B278" t="n">
        <x:v>10222</x:v>
      </x:c>
      <x:c r="C278" s="8" t="n">
        <x:v>45654.5</x:v>
      </x:c>
      <x:c r="D278" t="str">
        <x:v>Debi2024-364</x:v>
      </x:c>
      <x:c r="E278" t="str">
        <x:v>Debi2024-364</x:v>
      </x:c>
      <x:c r="F278" t="str">
        <x:v>Alice Renoux</x:v>
      </x:c>
      <x:c r="G278" s="6" t="n">
        <x:v>815</x:v>
      </x:c>
      <x:c r="H278" s="6" t="n">
        <x:v>0</x:v>
      </x:c>
      <x:c r="I278" s="6" t="n">
        <x:f>G278-H278</x:f>
        <x:v>815</x:v>
      </x:c>
      <x:c r="J278" t="str">
        <x:v>20240101_9589</x:v>
      </x:c>
    </x:row>
    <x:row r="279">
      <x:c r="A279" t="n">
        <x:v>1047</x:v>
      </x:c>
      <x:c r="B279" t="n">
        <x:v>10223</x:v>
      </x:c>
      <x:c r="C279" s="8" t="n">
        <x:v>45654.5</x:v>
      </x:c>
      <x:c r="D279" t="str">
        <x:v>Debi2024-365</x:v>
      </x:c>
      <x:c r="E279" t="str">
        <x:v>Debi2024-365</x:v>
      </x:c>
      <x:c r="F279" t="str">
        <x:v>Noah Hess</x:v>
      </x:c>
      <x:c r="G279" s="6" t="n">
        <x:v>1018</x:v>
      </x:c>
      <x:c r="H279" s="6" t="n">
        <x:v>0</x:v>
      </x:c>
      <x:c r="I279" s="6" t="n">
        <x:f>G279-H279</x:f>
        <x:v>1018</x:v>
      </x:c>
      <x:c r="J279" t="str">
        <x:v>20240101_9590</x:v>
      </x:c>
    </x:row>
    <x:row r="280">
      <x:c r="A280" t="n">
        <x:v>1048</x:v>
      </x:c>
      <x:c r="B280" t="n">
        <x:v>10224</x:v>
      </x:c>
      <x:c r="C280" s="8" t="n">
        <x:v>45657.5</x:v>
      </x:c>
      <x:c r="D280" t="str">
        <x:v>Debi2024-366</x:v>
      </x:c>
      <x:c r="E280" t="str">
        <x:v>Debi2024-366</x:v>
      </x:c>
      <x:c r="F280" t="str">
        <x:v>Mandy Alex</x:v>
      </x:c>
      <x:c r="G280" s="6" t="n">
        <x:v>649</x:v>
      </x:c>
      <x:c r="H280" s="6" t="n">
        <x:v>0</x:v>
      </x:c>
      <x:c r="I280" s="6" t="n">
        <x:f>G280-H280</x:f>
        <x:v>649</x:v>
      </x:c>
      <x:c r="J280" t="str">
        <x:v>20240101_9595</x:v>
      </x:c>
    </x:row>
    <x:row r="281">
      <x:c r="A281" t="n">
        <x:v>1049</x:v>
      </x:c>
      <x:c r="B281" t="n">
        <x:v>10225</x:v>
      </x:c>
      <x:c r="C281" s="8" t="n">
        <x:v>45519.5</x:v>
      </x:c>
      <x:c r="D281" t="str">
        <x:v>18246</x:v>
      </x:c>
      <x:c r="E281" t="str">
        <x:v>18246</x:v>
      </x:c>
      <x:c r="F281" t="str">
        <x:v>Huiberts Luni Cancellation Invoice</x:v>
      </x:c>
      <x:c r="G281" s="6" t="n">
        <x:v>107.5</x:v>
      </x:c>
      <x:c r="H281" s="6" t="n">
        <x:v>0</x:v>
      </x:c>
      <x:c r="I281" s="6" t="n">
        <x:f>G281-H281</x:f>
        <x:v>107.5</x:v>
      </x:c>
      <x:c r="J281" t="str">
        <x:v>20240101_9696</x:v>
      </x:c>
    </x:row>
    <x:row r="282">
      <x:c r="A282" t="n">
        <x:v>1050</x:v>
      </x:c>
      <x:c r="B282" t="n">
        <x:v>10225</x:v>
      </x:c>
      <x:c r="C282" s="8" t="n">
        <x:v>45523.5</x:v>
      </x:c>
      <x:c r="D282" t="str">
        <x:v>68/2</x:v>
      </x:c>
      <x:c r="E282" t="str">
        <x:v>68/2</x:v>
      </x:c>
      <x:c r="F282" t="str">
        <x:v>Umrechnung</x:v>
      </x:c>
      <x:c r="G282" s="6" t="n">
        <x:v>0.1</x:v>
      </x:c>
      <x:c r="H282" s="6" t="n">
        <x:v>0</x:v>
      </x:c>
      <x:c r="I282" s="6" t="n">
        <x:f>G282-H282</x:f>
        <x:v>0.1</x:v>
      </x:c>
      <x:c r="J282" t="str">
        <x:v>20240101_9701</x:v>
      </x:c>
    </x:row>
    <x:row r="283">
      <x:c r="A283" t="n">
        <x:v>1051</x:v>
      </x:c>
      <x:c r="B283" t="n">
        <x:v>10226</x:v>
      </x:c>
      <x:c r="C283" s="8" t="n">
        <x:v>45539.5</x:v>
      </x:c>
      <x:c r="D283" t="str">
        <x:v>72/4</x:v>
      </x:c>
      <x:c r="E283" t="str">
        <x:v>72/4</x:v>
      </x:c>
      <x:c r="F283" t="str">
        <x:v>Nicklas Mark 2024-290</x:v>
      </x:c>
      <x:c r="G283" s="6" t="n">
        <x:v>0</x:v>
      </x:c>
      <x:c r="H283" s="6" t="n">
        <x:v>646</x:v>
      </x:c>
      <x:c r="I283" s="6" t="n">
        <x:f>G283-H283</x:f>
        <x:v>-646</x:v>
      </x:c>
      <x:c r="J283" t="str">
        <x:v>20240101_9713</x:v>
      </x:c>
    </x:row>
    <x:row r="284">
      <x:c r="A284" t="n">
        <x:v>1052</x:v>
      </x:c>
      <x:c r="B284" t="n">
        <x:v>10227</x:v>
      </x:c>
      <x:c r="C284" s="8" t="n">
        <x:v>45546.5</x:v>
      </x:c>
      <x:c r="D284" t="str">
        <x:v>74/1</x:v>
      </x:c>
      <x:c r="E284" t="str">
        <x:v>74/1</x:v>
      </x:c>
      <x:c r="F284" t="str">
        <x:v>Martinez Fernandez Eva Maria 2024-291</x:v>
      </x:c>
      <x:c r="G284" s="6" t="n">
        <x:v>0</x:v>
      </x:c>
      <x:c r="H284" s="6" t="n">
        <x:v>9490</x:v>
      </x:c>
      <x:c r="I284" s="6" t="n">
        <x:f>G284-H284</x:f>
        <x:v>-9490</x:v>
      </x:c>
      <x:c r="J284" t="str">
        <x:v>20240101_9717</x:v>
      </x:c>
    </x:row>
    <x:row r="285">
      <x:c r="A285" t="n">
        <x:v>1053</x:v>
      </x:c>
      <x:c r="B285" t="n">
        <x:v>10228</x:v>
      </x:c>
      <x:c r="C285" s="8" t="n">
        <x:v>45591.5</x:v>
      </x:c>
      <x:c r="D285" t="str">
        <x:v>StornoRe18254</x:v>
      </x:c>
      <x:c r="E285" t="str">
        <x:v>StornoRe18254</x:v>
      </x:c>
      <x:c r="F285" t="str">
        <x:v>Vincent Romeo Rosing</x:v>
      </x:c>
      <x:c r="G285" s="6" t="n">
        <x:v>924.3</x:v>
      </x:c>
      <x:c r="H285" s="6" t="n">
        <x:v>0</x:v>
      </x:c>
      <x:c r="I285" s="6" t="n">
        <x:f>G285-H285</x:f>
        <x:v>924.3</x:v>
      </x:c>
      <x:c r="J285" t="str">
        <x:v>20240101_9749</x:v>
      </x:c>
    </x:row>
    <x:row r="286">
      <x:c r="A286" t="n">
        <x:v>1054</x:v>
      </x:c>
      <x:c r="B286" t="n">
        <x:v>10300</x:v>
      </x:c>
      <x:c r="C286" s="8" t="n">
        <x:v>44965.5</x:v>
      </x:c>
      <x:c r="D286" t="str">
        <x:v>132</x:v>
      </x:c>
      <x:c r="E286" t="str">
        <x:v>132</x:v>
      </x:c>
      <x:c r="F286" t="str">
        <x:v>droste-nöser galapagos inseln</x:v>
      </x:c>
      <x:c r="G286" s="6" t="n">
        <x:v>750</x:v>
      </x:c>
      <x:c r="H286" s="6" t="n">
        <x:v>0</x:v>
      </x:c>
      <x:c r="I286" s="6" t="n">
        <x:f>G286-H286</x:f>
        <x:v>750</x:v>
      </x:c>
      <x:c r="J286" t="str">
        <x:v>20230101_2557</x:v>
      </x:c>
    </x:row>
    <x:row r="287">
      <x:c r="A287" t="n">
        <x:v>1055</x:v>
      </x:c>
      <x:c r="B287" t="n">
        <x:v>10300</x:v>
      </x:c>
      <x:c r="C287" s="8" t="n">
        <x:v>44977.5</x:v>
      </x:c>
      <x:c r="D287" t="str">
        <x:v>148</x:v>
      </x:c>
      <x:c r="E287" t="str">
        <x:v>148</x:v>
      </x:c>
      <x:c r="F287" t="str">
        <x:v>Dunker, Cstea Rica</x:v>
      </x:c>
      <x:c r="G287" s="6" t="n">
        <x:v>463</x:v>
      </x:c>
      <x:c r="H287" s="6" t="n">
        <x:v>0</x:v>
      </x:c>
      <x:c r="I287" s="6" t="n">
        <x:f>G287-H287</x:f>
        <x:v>463</x:v>
      </x:c>
      <x:c r="J287" t="str">
        <x:v>20230101_2587</x:v>
      </x:c>
    </x:row>
    <x:row r="288">
      <x:c r="A288" t="n">
        <x:v>1056</x:v>
      </x:c>
      <x:c r="B288" t="n">
        <x:v>10300</x:v>
      </x:c>
      <x:c r="C288" s="8" t="n">
        <x:v>44978.5</x:v>
      </x:c>
      <x:c r="D288" t="str">
        <x:v>155</x:v>
      </x:c>
      <x:c r="E288" t="str">
        <x:v>155</x:v>
      </x:c>
      <x:c r="F288" t="str">
        <x:v>Deppe, Tansania</x:v>
      </x:c>
      <x:c r="G288" s="6" t="n">
        <x:v>410</x:v>
      </x:c>
      <x:c r="H288" s="6" t="n">
        <x:v>0</x:v>
      </x:c>
      <x:c r="I288" s="6" t="n">
        <x:f>G288-H288</x:f>
        <x:v>410</x:v>
      </x:c>
      <x:c r="J288" t="str">
        <x:v>20230101_2598</x:v>
      </x:c>
    </x:row>
    <x:row r="289">
      <x:c r="A289" t="n">
        <x:v>1057</x:v>
      </x:c>
      <x:c r="B289" t="n">
        <x:v>10300</x:v>
      </x:c>
      <x:c r="C289" s="8" t="n">
        <x:v>44986.5</x:v>
      </x:c>
      <x:c r="D289" t="str">
        <x:v>173</x:v>
      </x:c>
      <x:c r="E289" t="str">
        <x:v>173</x:v>
      </x:c>
      <x:c r="F289" t="str">
        <x:v>Daniels, Greece</x:v>
      </x:c>
      <x:c r="G289" s="6" t="n">
        <x:v>286</x:v>
      </x:c>
      <x:c r="H289" s="6" t="n">
        <x:v>0</x:v>
      </x:c>
      <x:c r="I289" s="6" t="n">
        <x:f>G289-H289</x:f>
        <x:v>286</x:v>
      </x:c>
      <x:c r="J289" t="str">
        <x:v>20230101_2634</x:v>
      </x:c>
    </x:row>
    <x:row r="290">
      <x:c r="A290" t="n">
        <x:v>1058</x:v>
      </x:c>
      <x:c r="B290" t="n">
        <x:v>10300</x:v>
      </x:c>
      <x:c r="C290" s="8" t="n">
        <x:v>44927.5</x:v>
      </x:c>
      <x:c r="D290" t="str">
        <x:v>174</x:v>
      </x:c>
      <x:c r="E290" t="str">
        <x:v>174</x:v>
      </x:c>
      <x:c r="F290" t="str">
        <x:v>duftner</x:v>
      </x:c>
      <x:c r="G290" s="6" t="n">
        <x:v>0</x:v>
      </x:c>
      <x:c r="H290" s="6" t="n">
        <x:v>1408</x:v>
      </x:c>
      <x:c r="I290" s="6" t="n">
        <x:f>G290-H290</x:f>
        <x:v>-1408</x:v>
      </x:c>
      <x:c r="J290" t="str">
        <x:v>20230101_2443</x:v>
      </x:c>
    </x:row>
    <x:row r="291">
      <x:c r="A291" t="n">
        <x:v>1059</x:v>
      </x:c>
      <x:c r="B291" t="n">
        <x:v>10300</x:v>
      </x:c>
      <x:c r="C291" s="8" t="n">
        <x:v>44986.5</x:v>
      </x:c>
      <x:c r="D291" t="str">
        <x:v>175</x:v>
      </x:c>
      <x:c r="E291" t="str">
        <x:v>175</x:v>
      </x:c>
      <x:c r="F291" t="str">
        <x:v>Diehl, Costa Rica</x:v>
      </x:c>
      <x:c r="G291" s="6" t="n">
        <x:v>5959</x:v>
      </x:c>
      <x:c r="H291" s="6" t="n">
        <x:v>0</x:v>
      </x:c>
      <x:c r="I291" s="6" t="n">
        <x:f>G291-H291</x:f>
        <x:v>5959</x:v>
      </x:c>
      <x:c r="J291" t="str">
        <x:v>20230101_2636</x:v>
      </x:c>
    </x:row>
    <x:row r="292">
      <x:c r="A292" t="n">
        <x:v>1060</x:v>
      </x:c>
      <x:c r="B292" t="n">
        <x:v>10300</x:v>
      </x:c>
      <x:c r="C292" s="8" t="n">
        <x:v>44994.5</x:v>
      </x:c>
      <x:c r="D292" t="str">
        <x:v>179</x:v>
      </x:c>
      <x:c r="E292" t="str">
        <x:v>179</x:v>
      </x:c>
      <x:c r="F292" t="str">
        <x:v>Doepp, Costa Rica</x:v>
      </x:c>
      <x:c r="G292" s="6" t="n">
        <x:v>655</x:v>
      </x:c>
      <x:c r="H292" s="6" t="n">
        <x:v>0</x:v>
      </x:c>
      <x:c r="I292" s="6" t="n">
        <x:f>G292-H292</x:f>
        <x:v>655</x:v>
      </x:c>
      <x:c r="J292" t="str">
        <x:v>20230101_2655</x:v>
      </x:c>
    </x:row>
    <x:row r="293">
      <x:c r="A293" t="n">
        <x:v>1061</x:v>
      </x:c>
      <x:c r="B293" t="n">
        <x:v>10300</x:v>
      </x:c>
      <x:c r="C293" s="8" t="n">
        <x:v>45006.5</x:v>
      </x:c>
      <x:c r="D293" t="str">
        <x:v>207</x:v>
      </x:c>
      <x:c r="E293" t="str">
        <x:v>207</x:v>
      </x:c>
      <x:c r="F293" t="str">
        <x:v>Delden, Greece</x:v>
      </x:c>
      <x:c r="G293" s="6" t="n">
        <x:v>176</x:v>
      </x:c>
      <x:c r="H293" s="6" t="n">
        <x:v>0</x:v>
      </x:c>
      <x:c r="I293" s="6" t="n">
        <x:f>G293-H293</x:f>
        <x:v>176</x:v>
      </x:c>
      <x:c r="J293" t="str">
        <x:v>20230101_2707</x:v>
      </x:c>
    </x:row>
    <x:row r="294">
      <x:c r="A294" t="n">
        <x:v>1062</x:v>
      </x:c>
      <x:c r="B294" t="n">
        <x:v>10300</x:v>
      </x:c>
      <x:c r="C294" s="8" t="n">
        <x:v>45019.5</x:v>
      </x:c>
      <x:c r="D294" t="str">
        <x:v>225</x:v>
      </x:c>
      <x:c r="E294" t="str">
        <x:v>225</x:v>
      </x:c>
      <x:c r="F294" t="str">
        <x:v>Driss, Greece</x:v>
      </x:c>
      <x:c r="G294" s="6" t="n">
        <x:v>168</x:v>
      </x:c>
      <x:c r="H294" s="6" t="n">
        <x:v>0</x:v>
      </x:c>
      <x:c r="I294" s="6" t="n">
        <x:f>G294-H294</x:f>
        <x:v>168</x:v>
      </x:c>
      <x:c r="J294" t="str">
        <x:v>20230101_2748</x:v>
      </x:c>
    </x:row>
    <x:row r="295">
      <x:c r="A295" t="n">
        <x:v>1063</x:v>
      </x:c>
      <x:c r="B295" t="n">
        <x:v>10300</x:v>
      </x:c>
      <x:c r="C295" s="8" t="n">
        <x:v>44927.5</x:v>
      </x:c>
      <x:c r="D295" t="str">
        <x:v>230</x:v>
      </x:c>
      <x:c r="E295" t="str">
        <x:v>230</x:v>
      </x:c>
      <x:c r="F295" t="str">
        <x:v>dei</x:v>
      </x:c>
      <x:c r="G295" s="6" t="n">
        <x:v>0</x:v>
      </x:c>
      <x:c r="H295" s="6" t="n">
        <x:v>930</x:v>
      </x:c>
      <x:c r="I295" s="6" t="n">
        <x:f>G295-H295</x:f>
        <x:v>-930</x:v>
      </x:c>
      <x:c r="J295" t="str">
        <x:v>20230101_2444</x:v>
      </x:c>
    </x:row>
    <x:row r="296">
      <x:c r="A296" t="n">
        <x:v>1064</x:v>
      </x:c>
      <x:c r="B296" t="n">
        <x:v>10300</x:v>
      </x:c>
      <x:c r="C296" s="8" t="n">
        <x:v>45002.5</x:v>
      </x:c>
      <x:c r="D296" t="str">
        <x:v>232</x:v>
      </x:c>
      <x:c r="E296" t="str">
        <x:v>232</x:v>
      </x:c>
      <x:c r="F296" t="str">
        <x:v>Nele Deppe 2023-155</x:v>
      </x:c>
      <x:c r="G296" s="6" t="n">
        <x:v>0</x:v>
      </x:c>
      <x:c r="H296" s="6" t="n">
        <x:v>82</x:v>
      </x:c>
      <x:c r="I296" s="6" t="n">
        <x:f>G296-H296</x:f>
        <x:v>-82</x:v>
      </x:c>
      <x:c r="J296" t="str">
        <x:v>20230101_2698</x:v>
      </x:c>
    </x:row>
    <x:row r="297">
      <x:c r="A297" t="n">
        <x:v>1065</x:v>
      </x:c>
      <x:c r="B297" t="n">
        <x:v>10300</x:v>
      </x:c>
      <x:c r="C297" s="8" t="n">
        <x:v>44927.5</x:v>
      </x:c>
      <x:c r="D297" t="str">
        <x:v>242</x:v>
      </x:c>
      <x:c r="E297" t="str">
        <x:v>242</x:v>
      </x:c>
      <x:c r="F297" t="str">
        <x:v>Vortragsaktualisierung</x:v>
      </x:c>
      <x:c r="G297" s="6" t="n">
        <x:v>14797</x:v>
      </x:c>
      <x:c r="H297" s="6" t="n">
        <x:v>0</x:v>
      </x:c>
      <x:c r="I297" s="6" t="n">
        <x:f>G297-H297</x:f>
        <x:v>14797</x:v>
      </x:c>
      <x:c r="J297" t="str">
        <x:v>20230101_2420</x:v>
      </x:c>
    </x:row>
    <x:row r="298">
      <x:c r="A298" t="n">
        <x:v>1074</x:v>
      </x:c>
      <x:c r="B298" t="n">
        <x:v>10300</x:v>
      </x:c>
      <x:c r="C298" s="8" t="n">
        <x:v>45132.5</x:v>
      </x:c>
      <x:c r="D298" t="str">
        <x:v>2023%338</x:v>
      </x:c>
      <x:c r="E298" t="str">
        <x:v>2023%338</x:v>
      </x:c>
      <x:c r="F298" t="str">
        <x:v>Dittrich</x:v>
      </x:c>
      <x:c r="G298" s="6" t="n">
        <x:v>3350</x:v>
      </x:c>
      <x:c r="H298" s="6" t="n">
        <x:v>0</x:v>
      </x:c>
      <x:c r="I298" s="6" t="n">
        <x:f>G298-H298</x:f>
        <x:v>3350</x:v>
      </x:c>
      <x:c r="J298" t="str">
        <x:v>20230101_3263</x:v>
      </x:c>
    </x:row>
    <x:row r="299">
      <x:c r="A299" t="n">
        <x:v>1075</x:v>
      </x:c>
      <x:c r="B299" t="n">
        <x:v>10300</x:v>
      </x:c>
      <x:c r="C299" s="8" t="n">
        <x:v>45140.5</x:v>
      </x:c>
      <x:c r="D299" t="str">
        <x:v>2023%341</x:v>
      </x:c>
      <x:c r="E299" t="str">
        <x:v>2023%341</x:v>
      </x:c>
      <x:c r="F299" t="str">
        <x:v>Dietz</x:v>
      </x:c>
      <x:c r="G299" s="6" t="n">
        <x:v>1210</x:v>
      </x:c>
      <x:c r="H299" s="6" t="n">
        <x:v>0</x:v>
      </x:c>
      <x:c r="I299" s="6" t="n">
        <x:f>G299-H299</x:f>
        <x:v>1210</x:v>
      </x:c>
      <x:c r="J299" t="str">
        <x:v>20230101_3283</x:v>
      </x:c>
    </x:row>
    <x:row r="300">
      <x:c r="A300" t="n">
        <x:v>1076</x:v>
      </x:c>
      <x:c r="B300" t="n">
        <x:v>10300</x:v>
      </x:c>
      <x:c r="C300" s="8" t="n">
        <x:v>45176.5</x:v>
      </x:c>
      <x:c r="D300" t="str">
        <x:v>2023%362</x:v>
      </x:c>
      <x:c r="E300" t="str">
        <x:v>2023%362</x:v>
      </x:c>
      <x:c r="F300" t="str">
        <x:v>David</x:v>
      </x:c>
      <x:c r="G300" s="6" t="n">
        <x:v>266</x:v>
      </x:c>
      <x:c r="H300" s="6" t="n">
        <x:v>0</x:v>
      </x:c>
      <x:c r="I300" s="6" t="n">
        <x:f>G300-H300</x:f>
        <x:v>266</x:v>
      </x:c>
      <x:c r="J300" t="str">
        <x:v>20230101_3341</x:v>
      </x:c>
    </x:row>
    <x:row r="301">
      <x:c r="A301" t="n">
        <x:v>1077</x:v>
      </x:c>
      <x:c r="B301" t="n">
        <x:v>10300</x:v>
      </x:c>
      <x:c r="C301" s="8" t="n">
        <x:v>45261.5</x:v>
      </x:c>
      <x:c r="D301" t="str">
        <x:v>2023%362</x:v>
      </x:c>
      <x:c r="E301" t="str">
        <x:v>2023%362</x:v>
      </x:c>
      <x:c r="F301" t="str">
        <x:v>David 2023_362</x:v>
      </x:c>
      <x:c r="G301" s="6" t="n">
        <x:v>532</x:v>
      </x:c>
      <x:c r="H301" s="6" t="n">
        <x:v>0</x:v>
      </x:c>
      <x:c r="I301" s="6" t="n">
        <x:f>G301-H301</x:f>
        <x:v>532</x:v>
      </x:c>
      <x:c r="J301" t="str">
        <x:v>103000000_2023%362_R3</x:v>
      </x:c>
    </x:row>
    <x:row r="302">
      <x:c r="A302" t="n">
        <x:v>1078</x:v>
      </x:c>
      <x:c r="B302" t="n">
        <x:v>10300</x:v>
      </x:c>
      <x:c r="C302" s="8" t="n">
        <x:v>45191.5</x:v>
      </x:c>
      <x:c r="D302" t="str">
        <x:v>2023%365</x:v>
      </x:c>
      <x:c r="E302" t="str">
        <x:v>2023%365</x:v>
      </x:c>
      <x:c r="F302" t="str">
        <x:v>Dittrich</x:v>
      </x:c>
      <x:c r="G302" s="6" t="n">
        <x:v>1779</x:v>
      </x:c>
      <x:c r="H302" s="6" t="n">
        <x:v>0</x:v>
      </x:c>
      <x:c r="I302" s="6" t="n">
        <x:f>G302-H302</x:f>
        <x:v>1779</x:v>
      </x:c>
      <x:c r="J302" t="str">
        <x:v>20230101_3364</x:v>
      </x:c>
    </x:row>
    <x:row r="303">
      <x:c r="A303" t="n">
        <x:v>1079</x:v>
      </x:c>
      <x:c r="B303" t="n">
        <x:v>10300</x:v>
      </x:c>
      <x:c r="C303" s="8" t="n">
        <x:v>45019.5</x:v>
      </x:c>
      <x:c r="D303" t="str">
        <x:v>2023-225</x:v>
      </x:c>
      <x:c r="E303" t="str">
        <x:v>2023-225</x:v>
      </x:c>
      <x:c r="F303" t="str">
        <x:v>driss</x:v>
      </x:c>
      <x:c r="G303" s="6" t="n">
        <x:v>0</x:v>
      </x:c>
      <x:c r="H303" s="6" t="n">
        <x:v>420</x:v>
      </x:c>
      <x:c r="I303" s="6" t="n">
        <x:f>G303-H303</x:f>
        <x:v>-420</x:v>
      </x:c>
      <x:c r="J303" t="str">
        <x:v>20230101_3578</x:v>
      </x:c>
    </x:row>
    <x:row r="304">
      <x:c r="A304" t="n">
        <x:v>1080</x:v>
      </x:c>
      <x:c r="B304" t="n">
        <x:v>10300</x:v>
      </x:c>
      <x:c r="C304" s="8" t="n">
        <x:v>45176.5</x:v>
      </x:c>
      <x:c r="D304" t="str">
        <x:v>2023-362</x:v>
      </x:c>
      <x:c r="E304" t="str">
        <x:v>2023-362</x:v>
      </x:c>
      <x:c r="F304" t="str">
        <x:v>Kym David 2023-362</x:v>
      </x:c>
      <x:c r="G304" s="6" t="n">
        <x:v>266</x:v>
      </x:c>
      <x:c r="H304" s="6" t="n">
        <x:v>0</x:v>
      </x:c>
      <x:c r="I304" s="6" t="n">
        <x:f>G304-H304</x:f>
        <x:v>266</x:v>
      </x:c>
      <x:c r="J304" t="str">
        <x:v>20230101_3344</x:v>
      </x:c>
    </x:row>
    <x:row r="305">
      <x:c r="A305" t="n">
        <x:v>1081</x:v>
      </x:c>
      <x:c r="B305" t="n">
        <x:v>10300</x:v>
      </x:c>
      <x:c r="C305" s="8" t="n">
        <x:v>45222.5</x:v>
      </x:c>
      <x:c r="D305" t="str">
        <x:v>Storno%RE%18254</x:v>
      </x:c>
      <x:c r="E305" t="str">
        <x:v>Storno%RE%18254</x:v>
      </x:c>
      <x:c r="F305" t="str">
        <x:v>Johanna Doepp zu 2023_179</x:v>
      </x:c>
      <x:c r="G305" s="6" t="n">
        <x:v>65.5</x:v>
      </x:c>
      <x:c r="H305" s="6" t="n">
        <x:v>0</x:v>
      </x:c>
      <x:c r="I305" s="6" t="n">
        <x:f>G305-H305</x:f>
        <x:v>65.5</x:v>
      </x:c>
      <x:c r="J305" t="str">
        <x:v>20230101_3421</x:v>
      </x:c>
    </x:row>
    <x:row r="306">
      <x:c r="A306" t="n">
        <x:v>1082</x:v>
      </x:c>
      <x:c r="B306" t="n">
        <x:v>10300</x:v>
      </x:c>
      <x:c r="C306" s="8" t="n">
        <x:v>44999.5</x:v>
      </x:c>
      <x:c r="D306" t="str">
        <x:v>VRNeu18/2</x:v>
      </x:c>
      <x:c r="E306" t="str">
        <x:v>VRNeu18/2</x:v>
      </x:c>
      <x:c r="F306" t="str">
        <x:v>Diehl Johanna 2022-175</x:v>
      </x:c>
      <x:c r="G306" s="6" t="n">
        <x:v>0</x:v>
      </x:c>
      <x:c r="H306" s="6" t="n">
        <x:v>5799</x:v>
      </x:c>
      <x:c r="I306" s="6" t="n">
        <x:f>G306-H306</x:f>
        <x:v>-5799</x:v>
      </x:c>
      <x:c r="J306" t="str">
        <x:v>20230101_2677</x:v>
      </x:c>
    </x:row>
    <x:row r="307">
      <x:c r="A307" t="n">
        <x:v>1083</x:v>
      </x:c>
      <x:c r="B307" t="n">
        <x:v>10300</x:v>
      </x:c>
      <x:c r="C307" s="8" t="n">
        <x:v>44999.5</x:v>
      </x:c>
      <x:c r="D307" t="str">
        <x:v>VRNeu18/2</x:v>
      </x:c>
      <x:c r="E307" t="str">
        <x:v>VRNeu18/2</x:v>
      </x:c>
      <x:c r="F307" t="str">
        <x:v>Adam Daniels 2023-173</x:v>
      </x:c>
      <x:c r="G307" s="6" t="n">
        <x:v>0</x:v>
      </x:c>
      <x:c r="H307" s="6" t="n">
        <x:v>286</x:v>
      </x:c>
      <x:c r="I307" s="6" t="n">
        <x:f>G307-H307</x:f>
        <x:v>-286</x:v>
      </x:c>
      <x:c r="J307" t="str">
        <x:v>20230101_2678</x:v>
      </x:c>
    </x:row>
    <x:row r="308">
      <x:c r="A308" t="n">
        <x:v>1084</x:v>
      </x:c>
      <x:c r="B308" t="n">
        <x:v>10300</x:v>
      </x:c>
      <x:c r="C308" s="8" t="n">
        <x:v>44935.5</x:v>
      </x:c>
      <x:c r="D308" t="str">
        <x:v>VRNeu2/1</x:v>
      </x:c>
      <x:c r="E308" t="str">
        <x:v>VRNeu2/1</x:v>
      </x:c>
      <x:c r="F308" t="str">
        <x:v>Duerr Cornelia 2022-238</x:v>
      </x:c>
      <x:c r="G308" s="6" t="n">
        <x:v>0</x:v>
      </x:c>
      <x:c r="H308" s="6" t="n">
        <x:v>7880</x:v>
      </x:c>
      <x:c r="I308" s="6" t="n">
        <x:f>G308-H308</x:f>
        <x:v>-7880</x:v>
      </x:c>
      <x:c r="J308" t="str">
        <x:v>20230101_2502</x:v>
      </x:c>
    </x:row>
    <x:row r="309">
      <x:c r="A309" t="n">
        <x:v>1085</x:v>
      </x:c>
      <x:c r="B309" t="n">
        <x:v>10300</x:v>
      </x:c>
      <x:c r="C309" s="8" t="n">
        <x:v>45007.5</x:v>
      </x:c>
      <x:c r="D309" t="str">
        <x:v>VRNeu20/1</x:v>
      </x:c>
      <x:c r="E309" t="str">
        <x:v>VRNeu20/1</x:v>
      </x:c>
      <x:c r="F309" t="str">
        <x:v>Dunker Charlotte 2023-148</x:v>
      </x:c>
      <x:c r="G309" s="6" t="n">
        <x:v>0</x:v>
      </x:c>
      <x:c r="H309" s="6" t="n">
        <x:v>363</x:v>
      </x:c>
      <x:c r="I309" s="6" t="n">
        <x:f>G309-H309</x:f>
        <x:v>-363</x:v>
      </x:c>
      <x:c r="J309" t="str">
        <x:v>20230101_2713</x:v>
      </x:c>
    </x:row>
    <x:row r="310">
      <x:c r="A310" t="n">
        <x:v>1086</x:v>
      </x:c>
      <x:c r="B310" t="n">
        <x:v>10300</x:v>
      </x:c>
      <x:c r="C310" s="8" t="n">
        <x:v>45007.5</x:v>
      </x:c>
      <x:c r="D310" t="str">
        <x:v>VRNeu21/1</x:v>
      </x:c>
      <x:c r="E310" t="str">
        <x:v>VRNeu21/1</x:v>
      </x:c>
      <x:c r="F310" t="str">
        <x:v>Dunker Sophia 2023-148</x:v>
      </x:c>
      <x:c r="G310" s="6" t="n">
        <x:v>0</x:v>
      </x:c>
      <x:c r="H310" s="6" t="n">
        <x:v>100</x:v>
      </x:c>
      <x:c r="I310" s="6" t="n">
        <x:f>G310-H310</x:f>
        <x:v>-100</x:v>
      </x:c>
      <x:c r="J310" t="str">
        <x:v>20230101_2714</x:v>
      </x:c>
    </x:row>
    <x:row r="311">
      <x:c r="A311" t="n">
        <x:v>1087</x:v>
      </x:c>
      <x:c r="B311" t="n">
        <x:v>10300</x:v>
      </x:c>
      <x:c r="C311" s="8" t="n">
        <x:v>45007.5</x:v>
      </x:c>
      <x:c r="D311" t="str">
        <x:v>VRNeu21/1</x:v>
      </x:c>
      <x:c r="E311" t="str">
        <x:v>VRNeu21/1</x:v>
      </x:c>
      <x:c r="F311" t="str">
        <x:v>Döpp Johanna</x:v>
      </x:c>
      <x:c r="G311" s="6" t="n">
        <x:v>0</x:v>
      </x:c>
      <x:c r="H311" s="6" t="n">
        <x:v>131</x:v>
      </x:c>
      <x:c r="I311" s="6" t="n">
        <x:f>G311-H311</x:f>
        <x:v>-131</x:v>
      </x:c>
      <x:c r="J311" t="str">
        <x:v>20230101_2715</x:v>
      </x:c>
    </x:row>
    <x:row r="312">
      <x:c r="A312" t="n">
        <x:v>1088</x:v>
      </x:c>
      <x:c r="B312" t="n">
        <x:v>10300</x:v>
      </x:c>
      <x:c r="C312" s="8" t="n">
        <x:v>45012.5</x:v>
      </x:c>
      <x:c r="D312" t="str">
        <x:v>VRNeu22/1</x:v>
      </x:c>
      <x:c r="E312" t="str">
        <x:v>VRNeu22/1</x:v>
      </x:c>
      <x:c r="F312" t="str">
        <x:v>Nele Deppe 2023-155</x:v>
      </x:c>
      <x:c r="G312" s="6" t="n">
        <x:v>0</x:v>
      </x:c>
      <x:c r="H312" s="6" t="n">
        <x:v>328</x:v>
      </x:c>
      <x:c r="I312" s="6" t="n">
        <x:f>G312-H312</x:f>
        <x:v>-328</x:v>
      </x:c>
      <x:c r="J312" t="str">
        <x:v>20230101_2730</x:v>
      </x:c>
    </x:row>
    <x:row r="313">
      <x:c r="A313" t="n">
        <x:v>1089</x:v>
      </x:c>
      <x:c r="B313" t="n">
        <x:v>10300</x:v>
      </x:c>
      <x:c r="C313" s="8" t="n">
        <x:v>45028.5</x:v>
      </x:c>
      <x:c r="D313" t="str">
        <x:v>VRNeu28/2</x:v>
      </x:c>
      <x:c r="E313" t="str">
        <x:v>VRNeu28/2</x:v>
      </x:c>
      <x:c r="F313" t="str">
        <x:v>Driss Rückerstattung</x:v>
      </x:c>
      <x:c r="G313" s="6" t="n">
        <x:v>252</x:v>
      </x:c>
      <x:c r="H313" s="6" t="n">
        <x:v>0</x:v>
      </x:c>
      <x:c r="I313" s="6" t="n">
        <x:f>G313-H313</x:f>
        <x:v>252</x:v>
      </x:c>
      <x:c r="J313" t="str">
        <x:v>20230101_2806</x:v>
      </x:c>
    </x:row>
    <x:row r="314">
      <x:c r="A314" t="n">
        <x:v>1090</x:v>
      </x:c>
      <x:c r="B314" t="n">
        <x:v>10300</x:v>
      </x:c>
      <x:c r="C314" s="8" t="n">
        <x:v>45076.5</x:v>
      </x:c>
      <x:c r="D314" t="str">
        <x:v>VRNeu44/3</x:v>
      </x:c>
      <x:c r="E314" t="str">
        <x:v>VRNeu44/3</x:v>
      </x:c>
      <x:c r="F314" t="str">
        <x:v>Dufter 2022-175</x:v>
      </x:c>
      <x:c r="G314" s="6" t="n">
        <x:v>0</x:v>
      </x:c>
      <x:c r="H314" s="6" t="n">
        <x:v>4300</x:v>
      </x:c>
      <x:c r="I314" s="6" t="n">
        <x:f>G314-H314</x:f>
        <x:v>-4300</x:v>
      </x:c>
      <x:c r="J314" t="str">
        <x:v>20230101_3020</x:v>
      </x:c>
    </x:row>
    <x:row r="315">
      <x:c r="A315" t="n">
        <x:v>1091</x:v>
      </x:c>
      <x:c r="B315" t="n">
        <x:v>10300</x:v>
      </x:c>
      <x:c r="C315" s="8" t="n">
        <x:v>45077.5</x:v>
      </x:c>
      <x:c r="D315" t="str">
        <x:v>VRNeu44/3</x:v>
      </x:c>
      <x:c r="E315" t="str">
        <x:v>VRNeu44/3</x:v>
      </x:c>
      <x:c r="F315" t="str">
        <x:v>Dutter 2022-175</x:v>
      </x:c>
      <x:c r="G315" s="6" t="n">
        <x:v>0</x:v>
      </x:c>
      <x:c r="H315" s="6" t="n">
        <x:v>279</x:v>
      </x:c>
      <x:c r="I315" s="6" t="n">
        <x:f>G315-H315</x:f>
        <x:v>-279</x:v>
      </x:c>
      <x:c r="J315" t="str">
        <x:v>20230101_3021</x:v>
      </x:c>
    </x:row>
    <x:row r="316">
      <x:c r="A316" t="n">
        <x:v>1092</x:v>
      </x:c>
      <x:c r="B316" t="n">
        <x:v>10300</x:v>
      </x:c>
      <x:c r="C316" s="8" t="n">
        <x:v>45141.5</x:v>
      </x:c>
      <x:c r="D316" t="str">
        <x:v>VRNeu60/4</x:v>
      </x:c>
      <x:c r="E316" t="str">
        <x:v>VRNeu60/4</x:v>
      </x:c>
      <x:c r="F316" t="str">
        <x:v>Dietz 2023-341</x:v>
      </x:c>
      <x:c r="G316" s="6" t="n">
        <x:v>0</x:v>
      </x:c>
      <x:c r="H316" s="6" t="n">
        <x:v>242</x:v>
      </x:c>
      <x:c r="I316" s="6" t="n">
        <x:f>G316-H316</x:f>
        <x:v>-242</x:v>
      </x:c>
      <x:c r="J316" t="str">
        <x:v>20230101_3289</x:v>
      </x:c>
    </x:row>
    <x:row r="317">
      <x:c r="A317" t="n">
        <x:v>1093</x:v>
      </x:c>
      <x:c r="B317" t="n">
        <x:v>10300</x:v>
      </x:c>
      <x:c r="C317" s="8" t="n">
        <x:v>45145.5</x:v>
      </x:c>
      <x:c r="D317" t="str">
        <x:v>VRNeu61/1</x:v>
      </x:c>
      <x:c r="E317" t="str">
        <x:v>VRNeu61/1</x:v>
      </x:c>
      <x:c r="F317" t="str">
        <x:v>Dittrich 2023-338</x:v>
      </x:c>
      <x:c r="G317" s="6" t="n">
        <x:v>0</x:v>
      </x:c>
      <x:c r="H317" s="6" t="n">
        <x:v>670</x:v>
      </x:c>
      <x:c r="I317" s="6" t="n">
        <x:f>G317-H317</x:f>
        <x:v>-670</x:v>
      </x:c>
      <x:c r="J317" t="str">
        <x:v>20230101_3296</x:v>
      </x:c>
    </x:row>
    <x:row r="318">
      <x:c r="A318" t="n">
        <x:v>1094</x:v>
      </x:c>
      <x:c r="B318" t="n">
        <x:v>10300</x:v>
      </x:c>
      <x:c r="C318" s="8" t="n">
        <x:v>45194.5</x:v>
      </x:c>
      <x:c r="D318" t="str">
        <x:v>VRNeu73/1</x:v>
      </x:c>
      <x:c r="E318" t="str">
        <x:v>VRNeu73/1</x:v>
      </x:c>
      <x:c r="F318" t="str">
        <x:v>Dittrich 2032-338</x:v>
      </x:c>
      <x:c r="G318" s="6" t="n">
        <x:v>0</x:v>
      </x:c>
      <x:c r="H318" s="6" t="n">
        <x:v>2680</x:v>
      </x:c>
      <x:c r="I318" s="6" t="n">
        <x:f>G318-H318</x:f>
        <x:v>-2680</x:v>
      </x:c>
      <x:c r="J318" t="str">
        <x:v>20230101_3368</x:v>
      </x:c>
    </x:row>
    <x:row r="319">
      <x:c r="A319" t="n">
        <x:v>1095</x:v>
      </x:c>
      <x:c r="B319" t="n">
        <x:v>10300</x:v>
      </x:c>
      <x:c r="C319" s="8" t="n">
        <x:v>45208.5</x:v>
      </x:c>
      <x:c r="D319" t="str">
        <x:v>VRNeu78/2</x:v>
      </x:c>
      <x:c r="E319" t="str">
        <x:v>VRNeu78/2</x:v>
      </x:c>
      <x:c r="F319" t="str">
        <x:v>Dietz 2023-341</x:v>
      </x:c>
      <x:c r="G319" s="6" t="n">
        <x:v>0</x:v>
      </x:c>
      <x:c r="H319" s="6" t="n">
        <x:v>968</x:v>
      </x:c>
      <x:c r="I319" s="6" t="n">
        <x:f>G319-H319</x:f>
        <x:v>-968</x:v>
      </x:c>
      <x:c r="J319" t="str">
        <x:v>20230101_3385</x:v>
      </x:c>
    </x:row>
    <x:row r="320">
      <x:c r="A320" t="n">
        <x:v>1096</x:v>
      </x:c>
      <x:c r="B320" t="n">
        <x:v>10300</x:v>
      </x:c>
      <x:c r="C320" s="8" t="n">
        <x:v>45208.5</x:v>
      </x:c>
      <x:c r="D320" t="str">
        <x:v>VRNeu78/2</x:v>
      </x:c>
      <x:c r="E320" t="str">
        <x:v>VRNeu78/2</x:v>
      </x:c>
      <x:c r="F320" t="str">
        <x:v>Dittrich 2023-365</x:v>
      </x:c>
      <x:c r="G320" s="6" t="n">
        <x:v>0</x:v>
      </x:c>
      <x:c r="H320" s="6" t="n">
        <x:v>355.8</x:v>
      </x:c>
      <x:c r="I320" s="6" t="n">
        <x:f>G320-H320</x:f>
        <x:v>-355.8</x:v>
      </x:c>
      <x:c r="J320" t="str">
        <x:v>20230101_3386</x:v>
      </x:c>
    </x:row>
    <x:row r="321">
      <x:c r="A321" t="n">
        <x:v>1097</x:v>
      </x:c>
      <x:c r="B321" t="n">
        <x:v>10300</x:v>
      </x:c>
      <x:c r="C321" s="8" t="n">
        <x:v>45210.5</x:v>
      </x:c>
      <x:c r="D321" t="str">
        <x:v>VRNeu79/1</x:v>
      </x:c>
      <x:c r="E321" t="str">
        <x:v>VRNeu79/1</x:v>
      </x:c>
      <x:c r="F321" t="str">
        <x:v>Dalo Gutschrift</x:v>
      </x:c>
      <x:c r="G321" s="6" t="n">
        <x:v>81</x:v>
      </x:c>
      <x:c r="H321" s="6" t="n">
        <x:v>0</x:v>
      </x:c>
      <x:c r="I321" s="6" t="n">
        <x:f>G321-H321</x:f>
        <x:v>81</x:v>
      </x:c>
      <x:c r="J321" t="str">
        <x:v>20230101_3393</x:v>
      </x:c>
    </x:row>
    <x:row r="322">
      <x:c r="A322" t="n">
        <x:v>1098</x:v>
      </x:c>
      <x:c r="B322" t="n">
        <x:v>10300</x:v>
      </x:c>
      <x:c r="C322" s="8" t="n">
        <x:v>45260.5</x:v>
      </x:c>
      <x:c r="D322" t="str">
        <x:v>VRNeu92/2</x:v>
      </x:c>
      <x:c r="E322" t="str">
        <x:v>VRNeu92/2</x:v>
      </x:c>
      <x:c r="F322" t="str">
        <x:v>Döpp Johanna Stornogebühr</x:v>
      </x:c>
      <x:c r="G322" s="6" t="n">
        <x:v>0</x:v>
      </x:c>
      <x:c r="H322" s="6" t="n">
        <x:v>65.5</x:v>
      </x:c>
      <x:c r="I322" s="6" t="n">
        <x:f>G322-H322</x:f>
        <x:v>-65.5</x:v>
      </x:c>
      <x:c r="J322" t="str">
        <x:v>20230101_3482</x:v>
      </x:c>
    </x:row>
    <x:row r="323">
      <x:c r="A323" t="n">
        <x:v>1099</x:v>
      </x:c>
      <x:c r="B323" t="n">
        <x:v>10300</x:v>
      </x:c>
      <x:c r="C323" s="8" t="n">
        <x:v>45265.5</x:v>
      </x:c>
      <x:c r="D323" t="str">
        <x:v>VRNeu94/2</x:v>
      </x:c>
      <x:c r="E323" t="str">
        <x:v>VRNeu94/2</x:v>
      </x:c>
      <x:c r="F323" t="str">
        <x:v>Dittrich 2023_365</x:v>
      </x:c>
      <x:c r="G323" s="6" t="n">
        <x:v>0</x:v>
      </x:c>
      <x:c r="H323" s="6" t="n">
        <x:v>1423.2</x:v>
      </x:c>
      <x:c r="I323" s="6" t="n">
        <x:f>G323-H323</x:f>
        <x:v>-1423.2</x:v>
      </x:c>
      <x:c r="J323" t="str">
        <x:v>20230101_3496</x:v>
      </x:c>
    </x:row>
    <x:row r="324">
      <x:c r="A324" t="n">
        <x:v>1102</x:v>
      </x:c>
      <x:c r="B324" t="n">
        <x:v>10400</x:v>
      </x:c>
      <x:c r="C324" s="8" t="n">
        <x:v>44910.5</x:v>
      </x:c>
      <x:c r="D324" t="str">
        <x:v>0</x:v>
      </x:c>
      <x:c r="E324" t="str">
        <x:v>0</x:v>
      </x:c>
      <x:c r="F324" t="str">
        <x:v>ebeling r ckerstattung</x:v>
      </x:c>
      <x:c r="G324" s="6" t="n">
        <x:v>350</x:v>
      </x:c>
      <x:c r="H324" s="6" t="n">
        <x:v>0</x:v>
      </x:c>
      <x:c r="I324" s="6" t="n">
        <x:f>G324-H324</x:f>
        <x:v>350</x:v>
      </x:c>
      <x:c r="J324" t="str">
        <x:v>20220101_836</x:v>
      </x:c>
    </x:row>
    <x:row r="325">
      <x:c r="A325" t="n">
        <x:v>1109</x:v>
      </x:c>
      <x:c r="B325" t="n">
        <x:v>10400</x:v>
      </x:c>
      <x:c r="C325" s="8" t="n">
        <x:v>45034.5</x:v>
      </x:c>
      <x:c r="D325" t="str">
        <x:v>2023%251</x:v>
      </x:c>
      <x:c r="E325" t="str">
        <x:v>2023%251</x:v>
      </x:c>
      <x:c r="F325" t="str">
        <x:v>Noah Eppel</x:v>
      </x:c>
      <x:c r="G325" s="6" t="n">
        <x:v>440</x:v>
      </x:c>
      <x:c r="H325" s="6" t="n">
        <x:v>0</x:v>
      </x:c>
      <x:c r="I325" s="6" t="n">
        <x:f>G325-H325</x:f>
        <x:v>440</x:v>
      </x:c>
      <x:c r="J325" t="str">
        <x:v>20230101_2834</x:v>
      </x:c>
    </x:row>
    <x:row r="326">
      <x:c r="A326" t="n">
        <x:v>1110</x:v>
      </x:c>
      <x:c r="B326" t="n">
        <x:v>10400</x:v>
      </x:c>
      <x:c r="C326" s="8" t="n">
        <x:v>45041.5</x:v>
      </x:c>
      <x:c r="D326" t="str">
        <x:v>2023%258</x:v>
      </x:c>
      <x:c r="E326" t="str">
        <x:v>2023%258</x:v>
      </x:c>
      <x:c r="F326" t="str">
        <x:v>Nadine Eulberg</x:v>
      </x:c>
      <x:c r="G326" s="6" t="n">
        <x:v>590</x:v>
      </x:c>
      <x:c r="H326" s="6" t="n">
        <x:v>0</x:v>
      </x:c>
      <x:c r="I326" s="6" t="n">
        <x:f>G326-H326</x:f>
        <x:v>590</x:v>
      </x:c>
      <x:c r="J326" t="str">
        <x:v>20230101_2881</x:v>
      </x:c>
    </x:row>
    <x:row r="327">
      <x:c r="A327" t="n">
        <x:v>1111</x:v>
      </x:c>
      <x:c r="B327" t="n">
        <x:v>10400</x:v>
      </x:c>
      <x:c r="C327" s="8" t="n">
        <x:v>45041.5</x:v>
      </x:c>
      <x:c r="D327" t="str">
        <x:v>2023%261</x:v>
      </x:c>
      <x:c r="E327" t="str">
        <x:v>2023%261</x:v>
      </x:c>
      <x:c r="F327" t="str">
        <x:v>Katja Ernst</x:v>
      </x:c>
      <x:c r="G327" s="6" t="n">
        <x:v>1420</x:v>
      </x:c>
      <x:c r="H327" s="6" t="n">
        <x:v>0</x:v>
      </x:c>
      <x:c r="I327" s="6" t="n">
        <x:f>G327-H327</x:f>
        <x:v>1420</x:v>
      </x:c>
      <x:c r="J327" t="str">
        <x:v>20230101_2875</x:v>
      </x:c>
    </x:row>
    <x:row r="328">
      <x:c r="A328" t="n">
        <x:v>1112</x:v>
      </x:c>
      <x:c r="B328" t="n">
        <x:v>10400</x:v>
      </x:c>
      <x:c r="C328" s="8" t="n">
        <x:v>45043.5</x:v>
      </x:c>
      <x:c r="D328" t="str">
        <x:v>2023%266</x:v>
      </x:c>
      <x:c r="E328" t="str">
        <x:v>2023%266</x:v>
      </x:c>
      <x:c r="F328" t="str">
        <x:v>Katharina Elster</x:v>
      </x:c>
      <x:c r="G328" s="6" t="n">
        <x:v>2209</x:v>
      </x:c>
      <x:c r="H328" s="6" t="n">
        <x:v>0</x:v>
      </x:c>
      <x:c r="I328" s="6" t="n">
        <x:f>G328-H328</x:f>
        <x:v>2209</x:v>
      </x:c>
      <x:c r="J328" t="str">
        <x:v>20230101_2905</x:v>
      </x:c>
    </x:row>
    <x:row r="329">
      <x:c r="A329" t="n">
        <x:v>1113</x:v>
      </x:c>
      <x:c r="B329" t="n">
        <x:v>10400</x:v>
      </x:c>
      <x:c r="C329" s="8" t="n">
        <x:v>45043.5</x:v>
      </x:c>
      <x:c r="D329" t="str">
        <x:v>VRNeu34/1</x:v>
      </x:c>
      <x:c r="E329" t="str">
        <x:v>VRNeu34/1</x:v>
      </x:c>
      <x:c r="F329" t="str">
        <x:v>Eulberg 2023-258</x:v>
      </x:c>
      <x:c r="G329" s="6" t="n">
        <x:v>0</x:v>
      </x:c>
      <x:c r="H329" s="6" t="n">
        <x:v>236</x:v>
      </x:c>
      <x:c r="I329" s="6" t="n">
        <x:f>G329-H329</x:f>
        <x:v>-236</x:v>
      </x:c>
      <x:c r="J329" t="str">
        <x:v>20230101_2911</x:v>
      </x:c>
    </x:row>
    <x:row r="330">
      <x:c r="A330" t="n">
        <x:v>1114</x:v>
      </x:c>
      <x:c r="B330" t="n">
        <x:v>10400</x:v>
      </x:c>
      <x:c r="C330" s="8" t="n">
        <x:v>45055.5</x:v>
      </x:c>
      <x:c r="D330" t="str">
        <x:v>VRNeu37/3</x:v>
      </x:c>
      <x:c r="E330" t="str">
        <x:v>VRNeu37/3</x:v>
      </x:c>
      <x:c r="F330" t="str">
        <x:v>Elster 2023_266</x:v>
      </x:c>
      <x:c r="G330" s="6" t="n">
        <x:v>0</x:v>
      </x:c>
      <x:c r="H330" s="6" t="n">
        <x:v>441.8</x:v>
      </x:c>
      <x:c r="I330" s="6" t="n">
        <x:f>G330-H330</x:f>
        <x:v>-441.8</x:v>
      </x:c>
      <x:c r="J330" t="str">
        <x:v>20230101_2946</x:v>
      </x:c>
    </x:row>
    <x:row r="331">
      <x:c r="A331" t="n">
        <x:v>1115</x:v>
      </x:c>
      <x:c r="B331" t="n">
        <x:v>10400</x:v>
      </x:c>
      <x:c r="C331" s="8" t="n">
        <x:v>45056.5</x:v>
      </x:c>
      <x:c r="D331" t="str">
        <x:v>VRNeu38/2</x:v>
      </x:c>
      <x:c r="E331" t="str">
        <x:v>VRNeu38/2</x:v>
      </x:c>
      <x:c r="F331" t="str">
        <x:v>Ernst 2023_261</x:v>
      </x:c>
      <x:c r="G331" s="6" t="n">
        <x:v>0</x:v>
      </x:c>
      <x:c r="H331" s="6" t="n">
        <x:v>836</x:v>
      </x:c>
      <x:c r="I331" s="6" t="n">
        <x:f>G331-H331</x:f>
        <x:v>-836</x:v>
      </x:c>
      <x:c r="J331" t="str">
        <x:v>20230101_2948</x:v>
      </x:c>
    </x:row>
    <x:row r="332">
      <x:c r="A332" t="n">
        <x:v>1116</x:v>
      </x:c>
      <x:c r="B332" t="n">
        <x:v>10400</x:v>
      </x:c>
      <x:c r="C332" s="8" t="n">
        <x:v>45194.5</x:v>
      </x:c>
      <x:c r="D332" t="str">
        <x:v>VRNeu73/2</x:v>
      </x:c>
      <x:c r="E332" t="str">
        <x:v>VRNeu73/2</x:v>
      </x:c>
      <x:c r="F332" t="str">
        <x:v>Elster 2023-266</x:v>
      </x:c>
      <x:c r="G332" s="6" t="n">
        <x:v>0</x:v>
      </x:c>
      <x:c r="H332" s="6" t="n">
        <x:v>1767.2</x:v>
      </x:c>
      <x:c r="I332" s="6" t="n">
        <x:f>G332-H332</x:f>
        <x:v>-1767.2</x:v>
      </x:c>
      <x:c r="J332" t="str">
        <x:v>20230101_3369</x:v>
      </x:c>
    </x:row>
    <x:row r="333">
      <x:c r="A333" t="n">
        <x:v>1119</x:v>
      </x:c>
      <x:c r="B333" t="n">
        <x:v>10500</x:v>
      </x:c>
      <x:c r="C333" s="8" t="n">
        <x:v>44927.5</x:v>
      </x:c>
      <x:c r="D333" t="str">
        <x:v>218</x:v>
      </x:c>
      <x:c r="E333" t="str">
        <x:v>218</x:v>
      </x:c>
      <x:c r="F333" t="str">
        <x:v>franke</x:v>
      </x:c>
      <x:c r="G333" s="6" t="n">
        <x:v>180</x:v>
      </x:c>
      <x:c r="H333" s="6" t="n">
        <x:v>0</x:v>
      </x:c>
      <x:c r="I333" s="6" t="n">
        <x:f>G333-H333</x:f>
        <x:v>180</x:v>
      </x:c>
      <x:c r="J333" t="str">
        <x:v>20230101_2447</x:v>
      </x:c>
    </x:row>
    <x:row r="334">
      <x:c r="A334" t="n">
        <x:v>1120</x:v>
      </x:c>
      <x:c r="B334" t="n">
        <x:v>10500</x:v>
      </x:c>
      <x:c r="C334" s="8" t="n">
        <x:v>45014.5</x:v>
      </x:c>
      <x:c r="D334" t="str">
        <x:v>218</x:v>
      </x:c>
      <x:c r="E334" t="str">
        <x:v>218</x:v>
      </x:c>
      <x:c r="F334" t="str">
        <x:v>Franke, Costa Rica</x:v>
      </x:c>
      <x:c r="G334" s="6" t="n">
        <x:v>2490</x:v>
      </x:c>
      <x:c r="H334" s="6" t="n">
        <x:v>0</x:v>
      </x:c>
      <x:c r="I334" s="6" t="n">
        <x:f>G334-H334</x:f>
        <x:v>2490</x:v>
      </x:c>
      <x:c r="J334" t="str">
        <x:v>20230101_2736</x:v>
      </x:c>
    </x:row>
    <x:row r="335">
      <x:c r="A335" t="n">
        <x:v>1121</x:v>
      </x:c>
      <x:c r="B335" t="n">
        <x:v>10500</x:v>
      </x:c>
      <x:c r="C335" s="8" t="n">
        <x:v>44927.5</x:v>
      </x:c>
      <x:c r="D335" t="str">
        <x:v>229</x:v>
      </x:c>
      <x:c r="E335" t="str">
        <x:v>229</x:v>
      </x:c>
      <x:c r="F335" t="str">
        <x:v>fleri 2022</x:v>
      </x:c>
      <x:c r="G335" s="6" t="n">
        <x:v>150</x:v>
      </x:c>
      <x:c r="H335" s="6" t="n">
        <x:v>0</x:v>
      </x:c>
      <x:c r="I335" s="6" t="n">
        <x:f>G335-H335</x:f>
        <x:v>150</x:v>
      </x:c>
      <x:c r="J335" t="str">
        <x:v>20230101_2448</x:v>
      </x:c>
    </x:row>
    <x:row r="336">
      <x:c r="A336" t="n">
        <x:v>1122</x:v>
      </x:c>
      <x:c r="B336" t="n">
        <x:v>10500</x:v>
      </x:c>
      <x:c r="C336" s="8" t="n">
        <x:v>45020.5</x:v>
      </x:c>
      <x:c r="D336" t="str">
        <x:v>229</x:v>
      </x:c>
      <x:c r="E336" t="str">
        <x:v>229</x:v>
      </x:c>
      <x:c r="F336" t="str">
        <x:v>Frattini, Tanzania</x:v>
      </x:c>
      <x:c r="G336" s="6" t="n">
        <x:v>735</x:v>
      </x:c>
      <x:c r="H336" s="6" t="n">
        <x:v>0</x:v>
      </x:c>
      <x:c r="I336" s="6" t="n">
        <x:f>G336-H336</x:f>
        <x:v>735</x:v>
      </x:c>
      <x:c r="J336" t="str">
        <x:v>20230101_2759</x:v>
      </x:c>
    </x:row>
    <x:row r="337">
      <x:c r="A337" t="n">
        <x:v>1123</x:v>
      </x:c>
      <x:c r="B337" t="n">
        <x:v>10500</x:v>
      </x:c>
      <x:c r="C337" s="8" t="n">
        <x:v>44927.5</x:v>
      </x:c>
      <x:c r="D337" t="str">
        <x:v>243</x:v>
      </x:c>
      <x:c r="E337" t="str">
        <x:v>243</x:v>
      </x:c>
      <x:c r="F337" t="str">
        <x:v>Vortragsaktualisierung</x:v>
      </x:c>
      <x:c r="G337" s="6" t="n">
        <x:v>5409</x:v>
      </x:c>
      <x:c r="H337" s="6" t="n">
        <x:v>0</x:v>
      </x:c>
      <x:c r="I337" s="6" t="n">
        <x:f>G337-H337</x:f>
        <x:v>5409</x:v>
      </x:c>
      <x:c r="J337" t="str">
        <x:v>20230101_2485</x:v>
      </x:c>
    </x:row>
    <x:row r="338">
      <x:c r="A338" t="n">
        <x:v>1124</x:v>
      </x:c>
      <x:c r="B338" t="n">
        <x:v>10500</x:v>
      </x:c>
      <x:c r="C338" s="8" t="n">
        <x:v>44927.5</x:v>
      </x:c>
      <x:c r="D338" t="str">
        <x:v>244</x:v>
      </x:c>
      <x:c r="E338" t="str">
        <x:v>244</x:v>
      </x:c>
      <x:c r="F338" t="str">
        <x:v>costa rica</x:v>
      </x:c>
      <x:c r="G338" s="6" t="n">
        <x:v>0</x:v>
      </x:c>
      <x:c r="H338" s="6" t="n">
        <x:v>2079.2</x:v>
      </x:c>
      <x:c r="I338" s="6" t="n">
        <x:f>G338-H338</x:f>
        <x:v>-2079.2</x:v>
      </x:c>
      <x:c r="J338" t="str">
        <x:v>20230101_2446</x:v>
      </x:c>
    </x:row>
    <x:row r="339">
      <x:c r="A339" t="n">
        <x:v>1125</x:v>
      </x:c>
      <x:c r="B339" t="n">
        <x:v>10500</x:v>
      </x:c>
      <x:c r="C339" s="8" t="n">
        <x:v>45014.5</x:v>
      </x:c>
      <x:c r="D339" t="str">
        <x:v>2023%218</x:v>
      </x:c>
      <x:c r="E339" t="str">
        <x:v>2023%218</x:v>
      </x:c>
      <x:c r="F339" t="str">
        <x:v>Franke</x:v>
      </x:c>
      <x:c r="G339" s="6" t="n">
        <x:v>0</x:v>
      </x:c>
      <x:c r="H339" s="6" t="n">
        <x:v>90</x:v>
      </x:c>
      <x:c r="I339" s="6" t="n">
        <x:f>G339-H339</x:f>
        <x:v>-90</x:v>
      </x:c>
      <x:c r="J339" t="str">
        <x:v>20230101_2740</x:v>
      </x:c>
    </x:row>
    <x:row r="340">
      <x:c r="A340" t="n">
        <x:v>1126</x:v>
      </x:c>
      <x:c r="B340" t="n">
        <x:v>10500</x:v>
      </x:c>
      <x:c r="C340" s="8" t="n">
        <x:v>45030.5</x:v>
      </x:c>
      <x:c r="D340" t="str">
        <x:v>2023%244</x:v>
      </x:c>
      <x:c r="E340" t="str">
        <x:v>2023%244</x:v>
      </x:c>
      <x:c r="F340" t="str">
        <x:v>Anton Fechner</x:v>
      </x:c>
      <x:c r="G340" s="6" t="n">
        <x:v>1590</x:v>
      </x:c>
      <x:c r="H340" s="6" t="n">
        <x:v>0</x:v>
      </x:c>
      <x:c r="I340" s="6" t="n">
        <x:f>G340-H340</x:f>
        <x:v>1590</x:v>
      </x:c>
      <x:c r="J340" t="str">
        <x:v>20230101_2824</x:v>
      </x:c>
    </x:row>
    <x:row r="341">
      <x:c r="A341" t="n">
        <x:v>1127</x:v>
      </x:c>
      <x:c r="B341" t="n">
        <x:v>10500</x:v>
      </x:c>
      <x:c r="C341" s="8" t="n">
        <x:v>45057.5</x:v>
      </x:c>
      <x:c r="D341" t="str">
        <x:v>2023%274</x:v>
      </x:c>
      <x:c r="E341" t="str">
        <x:v>2023%274</x:v>
      </x:c>
      <x:c r="F341" t="str">
        <x:v>Ludovica Ferrajoli</x:v>
      </x:c>
      <x:c r="G341" s="6" t="n">
        <x:v>520</x:v>
      </x:c>
      <x:c r="H341" s="6" t="n">
        <x:v>0</x:v>
      </x:c>
      <x:c r="I341" s="6" t="n">
        <x:f>G341-H341</x:f>
        <x:v>520</x:v>
      </x:c>
      <x:c r="J341" t="str">
        <x:v>20230101_2952</x:v>
      </x:c>
    </x:row>
    <x:row r="342">
      <x:c r="A342" t="n">
        <x:v>1128</x:v>
      </x:c>
      <x:c r="B342" t="n">
        <x:v>10500</x:v>
      </x:c>
      <x:c r="C342" s="8" t="n">
        <x:v>45243.5</x:v>
      </x:c>
      <x:c r="D342" t="str">
        <x:v>2023%387</x:v>
      </x:c>
      <x:c r="E342" t="str">
        <x:v>2023%387</x:v>
      </x:c>
      <x:c r="F342" t="str">
        <x:v>Fickel</x:v>
      </x:c>
      <x:c r="G342" s="6" t="n">
        <x:v>508</x:v>
      </x:c>
      <x:c r="H342" s="6" t="n">
        <x:v>0</x:v>
      </x:c>
      <x:c r="I342" s="6" t="n">
        <x:f>G342-H342</x:f>
        <x:v>508</x:v>
      </x:c>
      <x:c r="J342" t="str">
        <x:v>20230101_3447</x:v>
      </x:c>
    </x:row>
    <x:row r="343">
      <x:c r="A343" t="n">
        <x:v>1129</x:v>
      </x:c>
      <x:c r="B343" t="n">
        <x:v>10500</x:v>
      </x:c>
      <x:c r="C343" s="8" t="n">
        <x:v>45261.5</x:v>
      </x:c>
      <x:c r="D343" t="str">
        <x:v>2023%406</x:v>
      </x:c>
      <x:c r="E343" t="str">
        <x:v>2023%406</x:v>
      </x:c>
      <x:c r="F343" t="str">
        <x:v>Förstel</x:v>
      </x:c>
      <x:c r="G343" s="6" t="n">
        <x:v>8900</x:v>
      </x:c>
      <x:c r="H343" s="6" t="n">
        <x:v>0</x:v>
      </x:c>
      <x:c r="I343" s="6" t="n">
        <x:f>G343-H343</x:f>
        <x:v>8900</x:v>
      </x:c>
      <x:c r="J343" t="str">
        <x:v>20230101_3487</x:v>
      </x:c>
    </x:row>
    <x:row r="344">
      <x:c r="A344" t="n">
        <x:v>1130</x:v>
      </x:c>
      <x:c r="B344" t="n">
        <x:v>10500</x:v>
      </x:c>
      <x:c r="C344" s="8" t="n">
        <x:v>45344.5</x:v>
      </x:c>
      <x:c r="D344" t="str">
        <x:v>2023%406</x:v>
      </x:c>
      <x:c r="E344" t="str">
        <x:v>2023%406</x:v>
      </x:c>
      <x:c r="F344" t="str">
        <x:v>Umb. 10069 Bennet Foerstel 2023-406</x:v>
      </x:c>
      <x:c r="G344" s="6" t="n">
        <x:v>0</x:v>
      </x:c>
      <x:c r="H344" s="6" t="n">
        <x:v>1780</x:v>
      </x:c>
      <x:c r="I344" s="6" t="n">
        <x:f>G344-H344</x:f>
        <x:v>-1780</x:v>
      </x:c>
      <x:c r="J344" t="str">
        <x:v>20240101_9644</x:v>
      </x:c>
    </x:row>
    <x:row r="345">
      <x:c r="A345" t="n">
        <x:v>1131</x:v>
      </x:c>
      <x:c r="B345" t="n">
        <x:v>10500</x:v>
      </x:c>
      <x:c r="C345" s="8" t="n">
        <x:v>45471.5</x:v>
      </x:c>
      <x:c r="D345" t="str">
        <x:v>2023%406</x:v>
      </x:c>
      <x:c r="E345" t="str">
        <x:v>2023%406</x:v>
      </x:c>
      <x:c r="F345" t="str">
        <x:v>Umb. 10069 Förstel 2023-406</x:v>
      </x:c>
      <x:c r="G345" s="6" t="n">
        <x:v>0</x:v>
      </x:c>
      <x:c r="H345" s="6" t="n">
        <x:v>5340</x:v>
      </x:c>
      <x:c r="I345" s="6" t="n">
        <x:f>G345-H345</x:f>
        <x:v>-5340</x:v>
      </x:c>
      <x:c r="J345" t="str">
        <x:v>20240101_9668</x:v>
      </x:c>
    </x:row>
    <x:row r="346">
      <x:c r="A346" t="n">
        <x:v>1132</x:v>
      </x:c>
      <x:c r="B346" t="n">
        <x:v>10500</x:v>
      </x:c>
      <x:c r="C346" s="8" t="n">
        <x:v>45265.5</x:v>
      </x:c>
      <x:c r="D346" t="str">
        <x:v>2023%408</x:v>
      </x:c>
      <x:c r="E346" t="str">
        <x:v>2023%408</x:v>
      </x:c>
      <x:c r="F346" t="str">
        <x:v>Fois</x:v>
      </x:c>
      <x:c r="G346" s="6" t="n">
        <x:v>712</x:v>
      </x:c>
      <x:c r="H346" s="6" t="n">
        <x:v>0</x:v>
      </x:c>
      <x:c r="I346" s="6" t="n">
        <x:f>G346-H346</x:f>
        <x:v>712</x:v>
      </x:c>
      <x:c r="J346" t="str">
        <x:v>20230101_3495</x:v>
      </x:c>
    </x:row>
    <x:row r="347">
      <x:c r="A347" t="n">
        <x:v>1133</x:v>
      </x:c>
      <x:c r="B347" t="n">
        <x:v>10500</x:v>
      </x:c>
      <x:c r="C347" s="8" t="n">
        <x:v>45299.5</x:v>
      </x:c>
      <x:c r="D347" t="str">
        <x:v>2023%408</x:v>
      </x:c>
      <x:c r="E347" t="str">
        <x:v>2023%408</x:v>
      </x:c>
      <x:c r="F347" t="str">
        <x:v>Umb. 10069 Cristianan Fois 2023-408</x:v>
      </x:c>
      <x:c r="G347" s="6" t="n">
        <x:v>0</x:v>
      </x:c>
      <x:c r="H347" s="6" t="n">
        <x:v>356</x:v>
      </x:c>
      <x:c r="I347" s="6" t="n">
        <x:f>G347-H347</x:f>
        <x:v>-356</x:v>
      </x:c>
      <x:c r="J347" t="str">
        <x:v>20240101_9610</x:v>
      </x:c>
    </x:row>
    <x:row r="348">
      <x:c r="A348" t="n">
        <x:v>1134</x:v>
      </x:c>
      <x:c r="B348" t="n">
        <x:v>10500</x:v>
      </x:c>
      <x:c r="C348" s="8" t="n">
        <x:v>44979.5</x:v>
      </x:c>
      <x:c r="D348" t="str">
        <x:v>VRNeu10</x:v>
      </x:c>
      <x:c r="E348" t="str">
        <x:v>VRNeu10</x:v>
      </x:c>
      <x:c r="F348" t="str">
        <x:v>Marcus Fischer</x:v>
      </x:c>
      <x:c r="G348" s="6" t="n">
        <x:v>0</x:v>
      </x:c>
      <x:c r="H348" s="6" t="n">
        <x:v>519.8</x:v>
      </x:c>
      <x:c r="I348" s="6" t="n">
        <x:f>G348-H348</x:f>
        <x:v>-519.8</x:v>
      </x:c>
      <x:c r="J348" t="str">
        <x:v>20230101_2607</x:v>
      </x:c>
    </x:row>
    <x:row r="349">
      <x:c r="A349" t="n">
        <x:v>1135</x:v>
      </x:c>
      <x:c r="B349" t="n">
        <x:v>10500</x:v>
      </x:c>
      <x:c r="C349" s="8" t="n">
        <x:v>45033.5</x:v>
      </x:c>
      <x:c r="D349" t="str">
        <x:v>VRNeu29/1</x:v>
      </x:c>
      <x:c r="E349" t="str">
        <x:v>VRNeu29/1</x:v>
      </x:c>
      <x:c r="F349" t="str">
        <x:v>Frank RE 2023-218</x:v>
      </x:c>
      <x:c r="G349" s="6" t="n">
        <x:v>0</x:v>
      </x:c>
      <x:c r="H349" s="6" t="n">
        <x:v>498</x:v>
      </x:c>
      <x:c r="I349" s="6" t="n">
        <x:f>G349-H349</x:f>
        <x:v>-498</x:v>
      </x:c>
      <x:c r="J349" t="str">
        <x:v>20230101_2826</x:v>
      </x:c>
    </x:row>
    <x:row r="350">
      <x:c r="A350" t="n">
        <x:v>1136</x:v>
      </x:c>
      <x:c r="B350" t="n">
        <x:v>10500</x:v>
      </x:c>
      <x:c r="C350" s="8" t="n">
        <x:v>45041.5</x:v>
      </x:c>
      <x:c r="D350" t="str">
        <x:v>VRNeu33/2</x:v>
      </x:c>
      <x:c r="E350" t="str">
        <x:v>VRNeu33/2</x:v>
      </x:c>
      <x:c r="F350" t="str">
        <x:v>Fechner 2023-244</x:v>
      </x:c>
      <x:c r="G350" s="6" t="n">
        <x:v>0</x:v>
      </x:c>
      <x:c r="H350" s="6" t="n">
        <x:v>1590</x:v>
      </x:c>
      <x:c r="I350" s="6" t="n">
        <x:f>G350-H350</x:f>
        <x:v>-1590</x:v>
      </x:c>
      <x:c r="J350" t="str">
        <x:v>20230101_2887</x:v>
      </x:c>
    </x:row>
    <x:row r="351">
      <x:c r="A351" t="n">
        <x:v>1137</x:v>
      </x:c>
      <x:c r="B351" t="n">
        <x:v>10500</x:v>
      </x:c>
      <x:c r="C351" s="8" t="n">
        <x:v>45061.5</x:v>
      </x:c>
      <x:c r="D351" t="str">
        <x:v>VRNeu40/1</x:v>
      </x:c>
      <x:c r="E351" t="str">
        <x:v>VRNeu40/1</x:v>
      </x:c>
      <x:c r="F351" t="str">
        <x:v>FLeri 2022-229</x:v>
      </x:c>
      <x:c r="G351" s="6" t="n">
        <x:v>0</x:v>
      </x:c>
      <x:c r="H351" s="6" t="n">
        <x:v>1192</x:v>
      </x:c>
      <x:c r="I351" s="6" t="n">
        <x:f>G351-H351</x:f>
        <x:v>-1192</x:v>
      </x:c>
      <x:c r="J351" t="str">
        <x:v>20230101_2971</x:v>
      </x:c>
    </x:row>
    <x:row r="352">
      <x:c r="A352" t="n">
        <x:v>1138</x:v>
      </x:c>
      <x:c r="B352" t="n">
        <x:v>10500</x:v>
      </x:c>
      <x:c r="C352" s="8" t="n">
        <x:v>45070.5</x:v>
      </x:c>
      <x:c r="D352" t="str">
        <x:v>VRNeu43</x:v>
      </x:c>
      <x:c r="E352" t="str">
        <x:v>VRNeu43</x:v>
      </x:c>
      <x:c r="F352" t="str">
        <x:v>Forche 2022-259</x:v>
      </x:c>
      <x:c r="G352" s="6" t="n">
        <x:v>0</x:v>
      </x:c>
      <x:c r="H352" s="6" t="n">
        <x:v>1288</x:v>
      </x:c>
      <x:c r="I352" s="6" t="n">
        <x:f>G352-H352</x:f>
        <x:v>-1288</x:v>
      </x:c>
      <x:c r="J352" t="str">
        <x:v>20230101_3005</x:v>
      </x:c>
    </x:row>
    <x:row r="353">
      <x:c r="A353" t="n">
        <x:v>1139</x:v>
      </x:c>
      <x:c r="B353" t="n">
        <x:v>10500</x:v>
      </x:c>
      <x:c r="C353" s="8" t="n">
        <x:v>45089.5</x:v>
      </x:c>
      <x:c r="D353" t="str">
        <x:v>VRNeu49/1</x:v>
      </x:c>
      <x:c r="E353" t="str">
        <x:v>VRNeu49/1</x:v>
      </x:c>
      <x:c r="F353" t="str">
        <x:v>Noah Lorenzo Fleri 2022-229</x:v>
      </x:c>
      <x:c r="G353" s="6" t="n">
        <x:v>0</x:v>
      </x:c>
      <x:c r="H353" s="6" t="n">
        <x:v>150</x:v>
      </x:c>
      <x:c r="I353" s="6" t="n">
        <x:f>G353-H353</x:f>
        <x:v>-150</x:v>
      </x:c>
      <x:c r="J353" t="str">
        <x:v>20230101_3065</x:v>
      </x:c>
    </x:row>
    <x:row r="354">
      <x:c r="A354" t="n">
        <x:v>1140</x:v>
      </x:c>
      <x:c r="B354" t="n">
        <x:v>10500</x:v>
      </x:c>
      <x:c r="C354" s="8" t="n">
        <x:v>45117.5</x:v>
      </x:c>
      <x:c r="D354" t="str">
        <x:v>VRNeu53/1</x:v>
      </x:c>
      <x:c r="E354" t="str">
        <x:v>VRNeu53/1</x:v>
      </x:c>
      <x:c r="F354" t="str">
        <x:v>Franke 2023 218</x:v>
      </x:c>
      <x:c r="G354" s="6" t="n">
        <x:v>0</x:v>
      </x:c>
      <x:c r="H354" s="6" t="n">
        <x:v>12</x:v>
      </x:c>
      <x:c r="I354" s="6" t="n">
        <x:f>G354-H354</x:f>
        <x:v>-12</x:v>
      </x:c>
      <x:c r="J354" t="str">
        <x:v>20230101_3199</x:v>
      </x:c>
    </x:row>
    <x:row r="355">
      <x:c r="A355" t="n">
        <x:v>1141</x:v>
      </x:c>
      <x:c r="B355" t="n">
        <x:v>10500</x:v>
      </x:c>
      <x:c r="C355" s="8" t="n">
        <x:v>45121.5</x:v>
      </x:c>
      <x:c r="D355" t="str">
        <x:v>VRNeu54/3</x:v>
      </x:c>
      <x:c r="E355" t="str">
        <x:v>VRNeu54/3</x:v>
      </x:c>
      <x:c r="F355" t="str">
        <x:v>Barbarito</x:v>
      </x:c>
      <x:c r="G355" s="6" t="n">
        <x:v>0</x:v>
      </x:c>
      <x:c r="H355" s="6" t="n">
        <x:v>633.26</x:v>
      </x:c>
      <x:c r="I355" s="6" t="n">
        <x:f>G355-H355</x:f>
        <x:v>-633.26</x:v>
      </x:c>
      <x:c r="J355" t="str">
        <x:v>20230101_3213</x:v>
      </x:c>
    </x:row>
    <x:row r="356">
      <x:c r="A356" t="n">
        <x:v>1142</x:v>
      </x:c>
      <x:c r="B356" t="n">
        <x:v>10500</x:v>
      </x:c>
      <x:c r="C356" s="8" t="n">
        <x:v>45128.5</x:v>
      </x:c>
      <x:c r="D356" t="str">
        <x:v>VRNeu56/2</x:v>
      </x:c>
      <x:c r="E356" t="str">
        <x:v>VRNeu56/2</x:v>
      </x:c>
      <x:c r="F356" t="str">
        <x:v>Frattini 2023-229</x:v>
      </x:c>
      <x:c r="G356" s="6" t="n">
        <x:v>0</x:v>
      </x:c>
      <x:c r="H356" s="6" t="n">
        <x:v>101.74</x:v>
      </x:c>
      <x:c r="I356" s="6" t="n">
        <x:f>G356-H356</x:f>
        <x:v>-101.74</x:v>
      </x:c>
      <x:c r="J356" t="str">
        <x:v>20230101_3251</x:v>
      </x:c>
    </x:row>
    <x:row r="357">
      <x:c r="A357" t="n">
        <x:v>1143</x:v>
      </x:c>
      <x:c r="B357" t="n">
        <x:v>10500</x:v>
      </x:c>
      <x:c r="C357" s="8" t="n">
        <x:v>45220.5</x:v>
      </x:c>
      <x:c r="D357" t="str">
        <x:v>VRNeu56/2</x:v>
      </x:c>
      <x:c r="E357" t="str">
        <x:v>VRNeu56/2</x:v>
      </x:c>
      <x:c r="F357" t="str">
        <x:v>Barbarito Raffaella</x:v>
      </x:c>
      <x:c r="G357" s="6" t="n">
        <x:v>0</x:v>
      </x:c>
      <x:c r="H357" s="6" t="n">
        <x:v>101.74</x:v>
      </x:c>
      <x:c r="I357" s="6" t="n">
        <x:f>G357-H357</x:f>
        <x:v>-101.74</x:v>
      </x:c>
      <x:c r="J357" t="str">
        <x:v>20230101_3413</x:v>
      </x:c>
    </x:row>
    <x:row r="358">
      <x:c r="A358" t="n">
        <x:v>1144</x:v>
      </x:c>
      <x:c r="B358" t="n">
        <x:v>10500</x:v>
      </x:c>
      <x:c r="C358" s="8" t="n">
        <x:v>45220.5</x:v>
      </x:c>
      <x:c r="D358" t="str">
        <x:v>VRNeu56/2</x:v>
      </x:c>
      <x:c r="E358" t="str">
        <x:v>VRNeu56/2</x:v>
      </x:c>
      <x:c r="F358" t="str">
        <x:v>&lt;Storno&gt; Barbarito Raffaella</x:v>
      </x:c>
      <x:c r="G358" s="6" t="n">
        <x:v>0</x:v>
      </x:c>
      <x:c r="H358" s="6" t="n">
        <x:v>-101.74</x:v>
      </x:c>
      <x:c r="I358" s="6" t="n">
        <x:f>G358-H358</x:f>
        <x:v>101.74</x:v>
      </x:c>
      <x:c r="J358" t="str">
        <x:v>20230101_3414</x:v>
      </x:c>
    </x:row>
    <x:row r="359">
      <x:c r="A359" t="n">
        <x:v>1145</x:v>
      </x:c>
      <x:c r="B359" t="n">
        <x:v>10500</x:v>
      </x:c>
      <x:c r="C359" s="8" t="n">
        <x:v>45131.5</x:v>
      </x:c>
      <x:c r="D359" t="str">
        <x:v>VRNeu57/1</x:v>
      </x:c>
      <x:c r="E359" t="str">
        <x:v>VRNeu57/1</x:v>
      </x:c>
      <x:c r="F359" t="str">
        <x:v>Ludovica</x:v>
      </x:c>
      <x:c r="G359" s="6" t="n">
        <x:v>0</x:v>
      </x:c>
      <x:c r="H359" s="6" t="n">
        <x:v>208</x:v>
      </x:c>
      <x:c r="I359" s="6" t="n">
        <x:f>G359-H359</x:f>
        <x:v>-208</x:v>
      </x:c>
      <x:c r="J359" t="str">
        <x:v>20230101_3261</x:v>
      </x:c>
    </x:row>
    <x:row r="360">
      <x:c r="A360" t="n">
        <x:v>1146</x:v>
      </x:c>
      <x:c r="B360" t="n">
        <x:v>10500</x:v>
      </x:c>
      <x:c r="C360" s="8" t="n">
        <x:v>45135.5</x:v>
      </x:c>
      <x:c r="D360" t="str">
        <x:v>VRNeu58/4</x:v>
      </x:c>
      <x:c r="E360" t="str">
        <x:v>VRNeu58/4</x:v>
      </x:c>
      <x:c r="F360" t="str">
        <x:v>Franke 2023-218</x:v>
      </x:c>
      <x:c r="G360" s="6" t="n">
        <x:v>0</x:v>
      </x:c>
      <x:c r="H360" s="6" t="n">
        <x:v>6</x:v>
      </x:c>
      <x:c r="I360" s="6" t="n">
        <x:f>G360-H360</x:f>
        <x:v>-6</x:v>
      </x:c>
      <x:c r="J360" t="str">
        <x:v>20230101_3270</x:v>
      </x:c>
    </x:row>
    <x:row r="361">
      <x:c r="A361" t="n">
        <x:v>1147</x:v>
      </x:c>
      <x:c r="B361" t="n">
        <x:v>10500</x:v>
      </x:c>
      <x:c r="C361" s="8" t="n">
        <x:v>45174.5</x:v>
      </x:c>
      <x:c r="D361" t="str">
        <x:v>VRNeu68/2</x:v>
      </x:c>
      <x:c r="E361" t="str">
        <x:v>VRNeu68/2</x:v>
      </x:c>
      <x:c r="F361" t="str">
        <x:v>Franke</x:v>
      </x:c>
      <x:c r="G361" s="6" t="n">
        <x:v>0</x:v>
      </x:c>
      <x:c r="H361" s="6" t="n">
        <x:v>2064</x:v>
      </x:c>
      <x:c r="I361" s="6" t="n">
        <x:f>G361-H361</x:f>
        <x:v>-2064</x:v>
      </x:c>
      <x:c r="J361" t="str">
        <x:v>20230101_3336</x:v>
      </x:c>
    </x:row>
    <x:row r="362">
      <x:c r="A362" t="n">
        <x:v>1148</x:v>
      </x:c>
      <x:c r="B362" t="n">
        <x:v>10500</x:v>
      </x:c>
      <x:c r="C362" s="8" t="n">
        <x:v>45279.5</x:v>
      </x:c>
      <x:c r="D362" t="str">
        <x:v>VRNeu99/1</x:v>
      </x:c>
      <x:c r="E362" t="str">
        <x:v>VRNeu99/1</x:v>
      </x:c>
      <x:c r="F362" t="str">
        <x:v>Foerstel 2023_406</x:v>
      </x:c>
      <x:c r="G362" s="6" t="n">
        <x:v>0</x:v>
      </x:c>
      <x:c r="H362" s="6" t="n">
        <x:v>1780</x:v>
      </x:c>
      <x:c r="I362" s="6" t="n">
        <x:f>G362-H362</x:f>
        <x:v>-1780</x:v>
      </x:c>
      <x:c r="J362" t="str">
        <x:v>20230101_3516</x:v>
      </x:c>
    </x:row>
    <x:row r="363">
      <x:c r="A363" t="n">
        <x:v>1149</x:v>
      </x:c>
      <x:c r="B363" t="n">
        <x:v>10600</x:v>
      </x:c>
      <x:c r="C363" s="8" t="n">
        <x:v>44942.5</x:v>
      </x:c>
      <x:c r="D363" t="str">
        <x:v>116</x:v>
      </x:c>
      <x:c r="E363" t="str">
        <x:v>116</x:v>
      </x:c>
      <x:c r="F363" t="str">
        <x:v>gruber</x:v>
      </x:c>
      <x:c r="G363" s="6" t="n">
        <x:v>2220</x:v>
      </x:c>
      <x:c r="H363" s="6" t="n">
        <x:v>0</x:v>
      </x:c>
      <x:c r="I363" s="6" t="n">
        <x:f>G363-H363</x:f>
        <x:v>2220</x:v>
      </x:c>
      <x:c r="J363" t="str">
        <x:v>20230101_2517</x:v>
      </x:c>
    </x:row>
    <x:row r="364">
      <x:c r="A364" t="n">
        <x:v>1150</x:v>
      </x:c>
      <x:c r="B364" t="n">
        <x:v>10600</x:v>
      </x:c>
      <x:c r="C364" s="8" t="n">
        <x:v>44978.5</x:v>
      </x:c>
      <x:c r="D364" t="str">
        <x:v>154</x:v>
      </x:c>
      <x:c r="E364" t="str">
        <x:v>154</x:v>
      </x:c>
      <x:c r="F364" t="str">
        <x:v>Göbel, Costa Rica</x:v>
      </x:c>
      <x:c r="G364" s="6" t="n">
        <x:v>1080</x:v>
      </x:c>
      <x:c r="H364" s="6" t="n">
        <x:v>0</x:v>
      </x:c>
      <x:c r="I364" s="6" t="n">
        <x:f>G364-H364</x:f>
        <x:v>1080</x:v>
      </x:c>
      <x:c r="J364" t="str">
        <x:v>20230101_2597</x:v>
      </x:c>
    </x:row>
    <x:row r="365">
      <x:c r="A365" t="n">
        <x:v>1151</x:v>
      </x:c>
      <x:c r="B365" t="n">
        <x:v>10600</x:v>
      </x:c>
      <x:c r="C365" s="8" t="n">
        <x:v>44986.5</x:v>
      </x:c>
      <x:c r="D365" t="str">
        <x:v>166</x:v>
      </x:c>
      <x:c r="E365" t="str">
        <x:v>166</x:v>
      </x:c>
      <x:c r="F365" t="str">
        <x:v>Gutierrez, Mexico</x:v>
      </x:c>
      <x:c r="G365" s="6" t="n">
        <x:v>4375</x:v>
      </x:c>
      <x:c r="H365" s="6" t="n">
        <x:v>0</x:v>
      </x:c>
      <x:c r="I365" s="6" t="n">
        <x:f>G365-H365</x:f>
        <x:v>4375</x:v>
      </x:c>
      <x:c r="J365" t="str">
        <x:v>20230101_2632</x:v>
      </x:c>
    </x:row>
    <x:row r="366">
      <x:c r="A366" t="n">
        <x:v>1152</x:v>
      </x:c>
      <x:c r="B366" t="n">
        <x:v>10600</x:v>
      </x:c>
      <x:c r="C366" s="8" t="n">
        <x:v>44986.5</x:v>
      </x:c>
      <x:c r="D366" t="str">
        <x:v>174</x:v>
      </x:c>
      <x:c r="E366" t="str">
        <x:v>174</x:v>
      </x:c>
      <x:c r="F366" t="str">
        <x:v>Gasnier, Greece</x:v>
      </x:c>
      <x:c r="G366" s="6" t="n">
        <x:v>888</x:v>
      </x:c>
      <x:c r="H366" s="6" t="n">
        <x:v>0</x:v>
      </x:c>
      <x:c r="I366" s="6" t="n">
        <x:f>G366-H366</x:f>
        <x:v>888</x:v>
      </x:c>
      <x:c r="J366" t="str">
        <x:v>20230101_2635</x:v>
      </x:c>
    </x:row>
    <x:row r="367">
      <x:c r="A367" t="n">
        <x:v>1153</x:v>
      </x:c>
      <x:c r="B367" t="n">
        <x:v>10600</x:v>
      </x:c>
      <x:c r="C367" s="8" t="n">
        <x:v>45019.5</x:v>
      </x:c>
      <x:c r="D367" t="str">
        <x:v>224</x:v>
      </x:c>
      <x:c r="E367" t="str">
        <x:v>224</x:v>
      </x:c>
      <x:c r="F367" t="str">
        <x:v>Gammuto, Costa Rica</x:v>
      </x:c>
      <x:c r="G367" s="6" t="n">
        <x:v>1879</x:v>
      </x:c>
      <x:c r="H367" s="6" t="n">
        <x:v>0</x:v>
      </x:c>
      <x:c r="I367" s="6" t="n">
        <x:f>G367-H367</x:f>
        <x:v>1879</x:v>
      </x:c>
      <x:c r="J367" t="str">
        <x:v>20230101_2747</x:v>
      </x:c>
    </x:row>
    <x:row r="368">
      <x:c r="A368" t="n">
        <x:v>1154</x:v>
      </x:c>
      <x:c r="B368" t="n">
        <x:v>10600</x:v>
      </x:c>
      <x:c r="C368" s="8" t="n">
        <x:v>44927.5</x:v>
      </x:c>
      <x:c r="D368" t="str">
        <x:v>280</x:v>
      </x:c>
      <x:c r="E368" t="str">
        <x:v>280</x:v>
      </x:c>
      <x:c r="F368" t="str">
        <x:v>Skonto</x:v>
      </x:c>
      <x:c r="G368" s="6" t="n">
        <x:v>61</x:v>
      </x:c>
      <x:c r="H368" s="6" t="n">
        <x:v>0</x:v>
      </x:c>
      <x:c r="I368" s="6" t="n">
        <x:f>G368-H368</x:f>
        <x:v>61</x:v>
      </x:c>
      <x:c r="J368" t="str">
        <x:v>20230101_3566</x:v>
      </x:c>
    </x:row>
    <x:row r="369">
      <x:c r="A369" t="n">
        <x:v>1155</x:v>
      </x:c>
      <x:c r="B369" t="n">
        <x:v>10600</x:v>
      </x:c>
      <x:c r="C369" s="8" t="n">
        <x:v>44927.5</x:v>
      </x:c>
      <x:c r="D369" t="str">
        <x:v>280</x:v>
      </x:c>
      <x:c r="E369" t="str">
        <x:v>280</x:v>
      </x:c>
      <x:c r="F369" t="str">
        <x:v>gonzales</x:v>
      </x:c>
      <x:c r="G369" s="6" t="n">
        <x:v>0</x:v>
      </x:c>
      <x:c r="H369" s="6" t="n">
        <x:v>2190</x:v>
      </x:c>
      <x:c r="I369" s="6" t="n">
        <x:f>G369-H369</x:f>
        <x:v>-2190</x:v>
      </x:c>
      <x:c r="J369" t="str">
        <x:v>20230101_2449</x:v>
      </x:c>
    </x:row>
    <x:row r="370">
      <x:c r="A370" t="n">
        <x:v>1156</x:v>
      </x:c>
      <x:c r="B370" t="n">
        <x:v>10600</x:v>
      </x:c>
      <x:c r="C370" s="8" t="n">
        <x:v>45036.5</x:v>
      </x:c>
      <x:c r="D370" t="str">
        <x:v>2023%253</x:v>
      </x:c>
      <x:c r="E370" t="str">
        <x:v>2023%253</x:v>
      </x:c>
      <x:c r="F370" t="str">
        <x:v>&lt;Storno&gt; Lisa Giles</x:v>
      </x:c>
      <x:c r="G370" s="6" t="n">
        <x:v>0</x:v>
      </x:c>
      <x:c r="H370" s="6" t="n">
        <x:v>-840</x:v>
      </x:c>
      <x:c r="I370" s="6" t="n">
        <x:f>G370-H370</x:f>
        <x:v>840</x:v>
      </x:c>
      <x:c r="J370" t="str">
        <x:v>20230101_3564</x:v>
      </x:c>
    </x:row>
    <x:row r="371">
      <x:c r="A371" t="n">
        <x:v>1165</x:v>
      </x:c>
      <x:c r="B371" t="n">
        <x:v>10600</x:v>
      </x:c>
      <x:c r="C371" s="8" t="n">
        <x:v>45065.5</x:v>
      </x:c>
      <x:c r="D371" t="str">
        <x:v>2023%280</x:v>
      </x:c>
      <x:c r="E371" t="str">
        <x:v>2023%280</x:v>
      </x:c>
      <x:c r="F371" t="str">
        <x:v>&lt;Storno&gt; Carlota Gonzalez</x:v>
      </x:c>
      <x:c r="G371" s="6" t="n">
        <x:v>0</x:v>
      </x:c>
      <x:c r="H371" s="6" t="n">
        <x:v>-2190</x:v>
      </x:c>
      <x:c r="I371" s="6" t="n">
        <x:f>G371-H371</x:f>
        <x:v>2190</x:v>
      </x:c>
      <x:c r="J371" t="str">
        <x:v>20230101_3565</x:v>
      </x:c>
    </x:row>
    <x:row r="372">
      <x:c r="A372" t="n">
        <x:v>1166</x:v>
      </x:c>
      <x:c r="B372" t="n">
        <x:v>10600</x:v>
      </x:c>
      <x:c r="C372" s="8" t="n">
        <x:v>45191.5</x:v>
      </x:c>
      <x:c r="D372" t="str">
        <x:v>2023%366</x:v>
      </x:c>
      <x:c r="E372" t="str">
        <x:v>2023%366</x:v>
      </x:c>
      <x:c r="F372" t="str">
        <x:v>Gonzalez</x:v>
      </x:c>
      <x:c r="G372" s="6" t="n">
        <x:v>1219</x:v>
      </x:c>
      <x:c r="H372" s="6" t="n">
        <x:v>0</x:v>
      </x:c>
      <x:c r="I372" s="6" t="n">
        <x:f>G372-H372</x:f>
        <x:v>1219</x:v>
      </x:c>
      <x:c r="J372" t="str">
        <x:v>20230101_3365</x:v>
      </x:c>
    </x:row>
    <x:row r="373">
      <x:c r="A373" t="n">
        <x:v>1167</x:v>
      </x:c>
      <x:c r="B373" t="n">
        <x:v>10600</x:v>
      </x:c>
      <x:c r="C373" s="8" t="n">
        <x:v>45206.5</x:v>
      </x:c>
      <x:c r="D373" t="str">
        <x:v>2023%375</x:v>
      </x:c>
      <x:c r="E373" t="str">
        <x:v>2023%375</x:v>
      </x:c>
      <x:c r="F373" t="str">
        <x:v>Gartzia</x:v>
      </x:c>
      <x:c r="G373" s="6" t="n">
        <x:v>760</x:v>
      </x:c>
      <x:c r="H373" s="6" t="n">
        <x:v>0</x:v>
      </x:c>
      <x:c r="I373" s="6" t="n">
        <x:f>G373-H373</x:f>
        <x:v>760</x:v>
      </x:c>
      <x:c r="J373" t="str">
        <x:v>20230101_3382</x:v>
      </x:c>
    </x:row>
    <x:row r="374">
      <x:c r="A374" t="n">
        <x:v>1168</x:v>
      </x:c>
      <x:c r="B374" t="n">
        <x:v>10600</x:v>
      </x:c>
      <x:c r="C374" s="8" t="n">
        <x:v>45216.5</x:v>
      </x:c>
      <x:c r="D374" t="str">
        <x:v>2023%379</x:v>
      </x:c>
      <x:c r="E374" t="str">
        <x:v>2023%379</x:v>
      </x:c>
      <x:c r="F374" t="str">
        <x:v>Grallert</x:v>
      </x:c>
      <x:c r="G374" s="6" t="n">
        <x:v>1390</x:v>
      </x:c>
      <x:c r="H374" s="6" t="n">
        <x:v>0</x:v>
      </x:c>
      <x:c r="I374" s="6" t="n">
        <x:f>G374-H374</x:f>
        <x:v>1390</x:v>
      </x:c>
      <x:c r="J374" t="str">
        <x:v>20230101_3398</x:v>
      </x:c>
    </x:row>
    <x:row r="375">
      <x:c r="A375" t="n">
        <x:v>1169</x:v>
      </x:c>
      <x:c r="B375" t="n">
        <x:v>10600</x:v>
      </x:c>
      <x:c r="C375" s="8" t="n">
        <x:v>45316.5</x:v>
      </x:c>
      <x:c r="D375" t="str">
        <x:v>2023%379</x:v>
      </x:c>
      <x:c r="E375" t="str">
        <x:v>2023%379</x:v>
      </x:c>
      <x:c r="F375" t="str">
        <x:v>Umb. 10069 Marina Grallert 2023-379</x:v>
      </x:c>
      <x:c r="G375" s="6" t="n">
        <x:v>0</x:v>
      </x:c>
      <x:c r="H375" s="6" t="n">
        <x:v>1112</x:v>
      </x:c>
      <x:c r="I375" s="6" t="n">
        <x:f>G375-H375</x:f>
        <x:v>-1112</x:v>
      </x:c>
      <x:c r="J375" t="str">
        <x:v>20240101_9624</x:v>
      </x:c>
    </x:row>
    <x:row r="376">
      <x:c r="A376" t="n">
        <x:v>1170</x:v>
      </x:c>
      <x:c r="B376" t="n">
        <x:v>10600</x:v>
      </x:c>
      <x:c r="C376" s="8" t="n">
        <x:v>45252.5</x:v>
      </x:c>
      <x:c r="D376" t="str">
        <x:v>2023%395</x:v>
      </x:c>
      <x:c r="E376" t="str">
        <x:v>2023%395</x:v>
      </x:c>
      <x:c r="F376" t="str">
        <x:v>Geide</x:v>
      </x:c>
      <x:c r="G376" s="6" t="n">
        <x:v>261.6</x:v>
      </x:c>
      <x:c r="H376" s="6" t="n">
        <x:v>0</x:v>
      </x:c>
      <x:c r="I376" s="6" t="n">
        <x:f>G376-H376</x:f>
        <x:v>261.6</x:v>
      </x:c>
      <x:c r="J376" t="str">
        <x:v>20230101_3463</x:v>
      </x:c>
    </x:row>
    <x:row r="377">
      <x:c r="A377" t="n">
        <x:v>1171</x:v>
      </x:c>
      <x:c r="B377" t="n">
        <x:v>10600</x:v>
      </x:c>
      <x:c r="C377" s="8" t="n">
        <x:v>45257.5</x:v>
      </x:c>
      <x:c r="D377" t="str">
        <x:v>2023%399</x:v>
      </x:c>
      <x:c r="E377" t="str">
        <x:v>2023%399</x:v>
      </x:c>
      <x:c r="F377" t="str">
        <x:v>Gerber</x:v>
      </x:c>
      <x:c r="G377" s="6" t="n">
        <x:v>1520</x:v>
      </x:c>
      <x:c r="H377" s="6" t="n">
        <x:v>0</x:v>
      </x:c>
      <x:c r="I377" s="6" t="n">
        <x:f>G377-H377</x:f>
        <x:v>1520</x:v>
      </x:c>
      <x:c r="J377" t="str">
        <x:v>20230101_3469</x:v>
      </x:c>
    </x:row>
    <x:row r="378">
      <x:c r="A378" t="n">
        <x:v>1172</x:v>
      </x:c>
      <x:c r="B378" t="n">
        <x:v>10600</x:v>
      </x:c>
      <x:c r="C378" s="8" t="n">
        <x:v>45342.5</x:v>
      </x:c>
      <x:c r="D378" t="str">
        <x:v>2023%399</x:v>
      </x:c>
      <x:c r="E378" t="str">
        <x:v>2023%399</x:v>
      </x:c>
      <x:c r="F378" t="str">
        <x:v>Umb. 10069 Katja Gerber 2023-399</x:v>
      </x:c>
      <x:c r="G378" s="6" t="n">
        <x:v>0</x:v>
      </x:c>
      <x:c r="H378" s="6" t="n">
        <x:v>1216</x:v>
      </x:c>
      <x:c r="I378" s="6" t="n">
        <x:f>G378-H378</x:f>
        <x:v>-1216</x:v>
      </x:c>
      <x:c r="J378" t="str">
        <x:v>20240101_9642</x:v>
      </x:c>
    </x:row>
    <x:row r="379">
      <x:c r="A379" t="n">
        <x:v>1177</x:v>
      </x:c>
      <x:c r="B379" t="n">
        <x:v>10600</x:v>
      </x:c>
      <x:c r="C379" s="8" t="n">
        <x:v>45176.5</x:v>
      </x:c>
      <x:c r="D379" t="str">
        <x:v>2023-361</x:v>
      </x:c>
      <x:c r="E379" t="str">
        <x:v>2023-361</x:v>
      </x:c>
      <x:c r="F379" t="str">
        <x:v>Gardner</x:v>
      </x:c>
      <x:c r="G379" s="6" t="n">
        <x:v>266</x:v>
      </x:c>
      <x:c r="H379" s="6" t="n">
        <x:v>0</x:v>
      </x:c>
      <x:c r="I379" s="6" t="n">
        <x:f>G379-H379</x:f>
        <x:v>266</x:v>
      </x:c>
      <x:c r="J379" t="str">
        <x:v>20230101_3343</x:v>
      </x:c>
    </x:row>
    <x:row r="380">
      <x:c r="A380" t="n">
        <x:v>1178</x:v>
      </x:c>
      <x:c r="B380" t="n">
        <x:v>10600</x:v>
      </x:c>
      <x:c r="C380" s="8" t="n">
        <x:v>44984.5</x:v>
      </x:c>
      <x:c r="D380" t="str">
        <x:v>VRNeu11/3</x:v>
      </x:c>
      <x:c r="E380" t="str">
        <x:v>VRNeu11/3</x:v>
      </x:c>
      <x:c r="F380" t="str">
        <x:v>Lynn Gruber 2023-116</x:v>
      </x:c>
      <x:c r="G380" s="6" t="n">
        <x:v>0</x:v>
      </x:c>
      <x:c r="H380" s="6" t="n">
        <x:v>444</x:v>
      </x:c>
      <x:c r="I380" s="6" t="n">
        <x:f>G380-H380</x:f>
        <x:v>-444</x:v>
      </x:c>
      <x:c r="J380" t="str">
        <x:v>20230101_2622</x:v>
      </x:c>
    </x:row>
    <x:row r="381">
      <x:c r="A381" t="n">
        <x:v>1179</x:v>
      </x:c>
      <x:c r="B381" t="n">
        <x:v>10600</x:v>
      </x:c>
      <x:c r="C381" s="8" t="n">
        <x:v>44991.5</x:v>
      </x:c>
      <x:c r="D381" t="str">
        <x:v>VRNeu15/1</x:v>
      </x:c>
      <x:c r="E381" t="str">
        <x:v>VRNeu15/1</x:v>
      </x:c>
      <x:c r="F381" t="str">
        <x:v>Emma Goebel 2023-154</x:v>
      </x:c>
      <x:c r="G381" s="6" t="n">
        <x:v>0</x:v>
      </x:c>
      <x:c r="H381" s="6" t="n">
        <x:v>216</x:v>
      </x:c>
      <x:c r="I381" s="6" t="n">
        <x:f>G381-H381</x:f>
        <x:v>-216</x:v>
      </x:c>
      <x:c r="J381" t="str">
        <x:v>20230101_2649</x:v>
      </x:c>
    </x:row>
    <x:row r="382">
      <x:c r="A382" t="n">
        <x:v>1180</x:v>
      </x:c>
      <x:c r="B382" t="n">
        <x:v>10600</x:v>
      </x:c>
      <x:c r="C382" s="8" t="n">
        <x:v>45000.5</x:v>
      </x:c>
      <x:c r="D382" t="str">
        <x:v>VRNeu18/3</x:v>
      </x:c>
      <x:c r="E382" t="str">
        <x:v>VRNeu18/3</x:v>
      </x:c>
      <x:c r="F382" t="str">
        <x:v>Gasnier Apolline 2023-174</x:v>
      </x:c>
      <x:c r="G382" s="6" t="n">
        <x:v>0</x:v>
      </x:c>
      <x:c r="H382" s="6" t="n">
        <x:v>888</x:v>
      </x:c>
      <x:c r="I382" s="6" t="n">
        <x:f>G382-H382</x:f>
        <x:v>-888</x:v>
      </x:c>
      <x:c r="J382" t="str">
        <x:v>20230101_2692</x:v>
      </x:c>
    </x:row>
    <x:row r="383">
      <x:c r="A383" t="n">
        <x:v>1181</x:v>
      </x:c>
      <x:c r="B383" t="n">
        <x:v>10600</x:v>
      </x:c>
      <x:c r="C383" s="8" t="n">
        <x:v>45029.5</x:v>
      </x:c>
      <x:c r="D383" t="str">
        <x:v>VRNeu28/3</x:v>
      </x:c>
      <x:c r="E383" t="str">
        <x:v>VRNeu28/3</x:v>
      </x:c>
      <x:c r="F383" t="str">
        <x:v>Gammuto</x:v>
      </x:c>
      <x:c r="G383" s="6" t="n">
        <x:v>0</x:v>
      </x:c>
      <x:c r="H383" s="6" t="n">
        <x:v>375.8</x:v>
      </x:c>
      <x:c r="I383" s="6" t="n">
        <x:f>G383-H383</x:f>
        <x:v>-375.8</x:v>
      </x:c>
      <x:c r="J383" t="str">
        <x:v>20230101_2815</x:v>
      </x:c>
    </x:row>
    <x:row r="384">
      <x:c r="A384" t="n">
        <x:v>1182</x:v>
      </x:c>
      <x:c r="B384" t="n">
        <x:v>10600</x:v>
      </x:c>
      <x:c r="C384" s="8" t="n">
        <x:v>45048.5</x:v>
      </x:c>
      <x:c r="D384" t="str">
        <x:v>VRNeu35/2</x:v>
      </x:c>
      <x:c r="E384" t="str">
        <x:v>VRNeu35/2</x:v>
      </x:c>
      <x:c r="F384" t="str">
        <x:v>Giles 2023-253</x:v>
      </x:c>
      <x:c r="G384" s="6" t="n">
        <x:v>0</x:v>
      </x:c>
      <x:c r="H384" s="6" t="n">
        <x:v>168</x:v>
      </x:c>
      <x:c r="I384" s="6" t="n">
        <x:f>G384-H384</x:f>
        <x:v>-168</x:v>
      </x:c>
      <x:c r="J384" t="str">
        <x:v>20230101_2923</x:v>
      </x:c>
    </x:row>
    <x:row r="385">
      <x:c r="A385" t="n">
        <x:v>1183</x:v>
      </x:c>
      <x:c r="B385" t="n">
        <x:v>10600</x:v>
      </x:c>
      <x:c r="C385" s="8" t="n">
        <x:v>45054.5</x:v>
      </x:c>
      <x:c r="D385" t="str">
        <x:v>VRNeu37/2</x:v>
      </x:c>
      <x:c r="E385" t="str">
        <x:v>VRNeu37/2</x:v>
      </x:c>
      <x:c r="F385" t="str">
        <x:v>Goebel 2023-154</x:v>
      </x:c>
      <x:c r="G385" s="6" t="n">
        <x:v>0</x:v>
      </x:c>
      <x:c r="H385" s="6" t="n">
        <x:v>864</x:v>
      </x:c>
      <x:c r="I385" s="6" t="n">
        <x:f>G385-H385</x:f>
        <x:v>-864</x:v>
      </x:c>
      <x:c r="J385" t="str">
        <x:v>20230101_2945</x:v>
      </x:c>
    </x:row>
    <x:row r="386">
      <x:c r="A386" t="n">
        <x:v>1184</x:v>
      </x:c>
      <x:c r="B386" t="n">
        <x:v>10600</x:v>
      </x:c>
      <x:c r="C386" s="8" t="n">
        <x:v>45082.5</x:v>
      </x:c>
      <x:c r="D386" t="str">
        <x:v>VRNeu46/1</x:v>
      </x:c>
      <x:c r="E386" t="str">
        <x:v>VRNeu46/1</x:v>
      </x:c>
      <x:c r="F386" t="str">
        <x:v>Gonzalez 2023_280</x:v>
      </x:c>
      <x:c r="G386" s="6" t="n">
        <x:v>0</x:v>
      </x:c>
      <x:c r="H386" s="6" t="n">
        <x:v>280</x:v>
      </x:c>
      <x:c r="I386" s="6" t="n">
        <x:f>G386-H386</x:f>
        <x:v>-280</x:v>
      </x:c>
      <x:c r="J386" t="str">
        <x:v>20230101_3031</x:v>
      </x:c>
    </x:row>
    <x:row r="387">
      <x:c r="A387" t="n">
        <x:v>1185</x:v>
      </x:c>
      <x:c r="B387" t="n">
        <x:v>10600</x:v>
      </x:c>
      <x:c r="C387" s="8" t="n">
        <x:v>45148.5</x:v>
      </x:c>
      <x:c r="D387" t="str">
        <x:v>VRNeu63/1</x:v>
      </x:c>
      <x:c r="E387" t="str">
        <x:v>VRNeu63/1</x:v>
      </x:c>
      <x:c r="F387" t="str">
        <x:v>Lynn Gruber</x:v>
      </x:c>
      <x:c r="G387" s="6" t="n">
        <x:v>0</x:v>
      </x:c>
      <x:c r="H387" s="6" t="n">
        <x:v>1776</x:v>
      </x:c>
      <x:c r="I387" s="6" t="n">
        <x:f>G387-H387</x:f>
        <x:v>-1776</x:v>
      </x:c>
      <x:c r="J387" t="str">
        <x:v>20230101_3299</x:v>
      </x:c>
    </x:row>
    <x:row r="388">
      <x:c r="A388" t="n">
        <x:v>1186</x:v>
      </x:c>
      <x:c r="B388" t="n">
        <x:v>10600</x:v>
      </x:c>
      <x:c r="C388" s="8" t="n">
        <x:v>45219.5</x:v>
      </x:c>
      <x:c r="D388" t="str">
        <x:v>VRNeu82/1</x:v>
      </x:c>
      <x:c r="E388" t="str">
        <x:v>VRNeu82/1</x:v>
      </x:c>
      <x:c r="F388" t="str">
        <x:v>Grallert 2023-379</x:v>
      </x:c>
      <x:c r="G388" s="6" t="n">
        <x:v>0</x:v>
      </x:c>
      <x:c r="H388" s="6" t="n">
        <x:v>278</x:v>
      </x:c>
      <x:c r="I388" s="6" t="n">
        <x:f>G388-H388</x:f>
        <x:v>-278</x:v>
      </x:c>
      <x:c r="J388" t="str">
        <x:v>20230101_3408</x:v>
      </x:c>
    </x:row>
    <x:row r="389">
      <x:c r="A389" t="n">
        <x:v>1187</x:v>
      </x:c>
      <x:c r="B389" t="n">
        <x:v>10600</x:v>
      </x:c>
      <x:c r="C389" s="8" t="n">
        <x:v>45226.5</x:v>
      </x:c>
      <x:c r="D389" t="str">
        <x:v>VRNeu84/3</x:v>
      </x:c>
      <x:c r="E389" t="str">
        <x:v>VRNeu84/3</x:v>
      </x:c>
      <x:c r="F389" t="str">
        <x:v>Joseba Koldo Gartzia Gil</x:v>
      </x:c>
      <x:c r="G389" s="6" t="n">
        <x:v>0</x:v>
      </x:c>
      <x:c r="H389" s="6" t="n">
        <x:v>717.52</x:v>
      </x:c>
      <x:c r="I389" s="6" t="n">
        <x:f>G389-H389</x:f>
        <x:v>-717.52</x:v>
      </x:c>
      <x:c r="J389" t="str">
        <x:v>20230101_3431</x:v>
      </x:c>
    </x:row>
    <x:row r="390">
      <x:c r="A390" t="n">
        <x:v>1188</x:v>
      </x:c>
      <x:c r="B390" t="n">
        <x:v>10600</x:v>
      </x:c>
      <x:c r="C390" s="8" t="n">
        <x:v>45226.5</x:v>
      </x:c>
      <x:c r="D390" t="str">
        <x:v>VRNeu84/3</x:v>
      </x:c>
      <x:c r="E390" t="str">
        <x:v>VRNeu84/3</x:v>
      </x:c>
      <x:c r="F390" t="str">
        <x:v>Umrechnung USD</x:v>
      </x:c>
      <x:c r="G390" s="6" t="n">
        <x:v>0</x:v>
      </x:c>
      <x:c r="H390" s="6" t="n">
        <x:v>42.48</x:v>
      </x:c>
      <x:c r="I390" s="6" t="n">
        <x:f>G390-H390</x:f>
        <x:v>-42.48</x:v>
      </x:c>
      <x:c r="J390" t="str">
        <x:v>20230101_3432</x:v>
      </x:c>
    </x:row>
    <x:row r="391">
      <x:c r="A391" t="n">
        <x:v>1189</x:v>
      </x:c>
      <x:c r="B391" t="n">
        <x:v>10600</x:v>
      </x:c>
      <x:c r="C391" s="8" t="n">
        <x:v>45257.5</x:v>
      </x:c>
      <x:c r="D391" t="str">
        <x:v>VRNeu91/1</x:v>
      </x:c>
      <x:c r="E391" t="str">
        <x:v>VRNeu91/1</x:v>
      </x:c>
      <x:c r="F391" t="str">
        <x:v>Geide 1023_395</x:v>
      </x:c>
      <x:c r="G391" s="6" t="n">
        <x:v>0</x:v>
      </x:c>
      <x:c r="H391" s="6" t="n">
        <x:v>261.6</x:v>
      </x:c>
      <x:c r="I391" s="6" t="n">
        <x:f>G391-H391</x:f>
        <x:v>-261.6</x:v>
      </x:c>
      <x:c r="J391" t="str">
        <x:v>20230101_3471</x:v>
      </x:c>
    </x:row>
    <x:row r="392">
      <x:c r="A392" t="n">
        <x:v>1190</x:v>
      </x:c>
      <x:c r="B392" t="n">
        <x:v>10600</x:v>
      </x:c>
      <x:c r="C392" s="8" t="n">
        <x:v>45264.5</x:v>
      </x:c>
      <x:c r="D392" t="str">
        <x:v>VRNeu94/1</x:v>
      </x:c>
      <x:c r="E392" t="str">
        <x:v>VRNeu94/1</x:v>
      </x:c>
      <x:c r="F392" t="str">
        <x:v>Gammuto 2023_224</x:v>
      </x:c>
      <x:c r="G392" s="6" t="n">
        <x:v>0</x:v>
      </x:c>
      <x:c r="H392" s="6" t="n">
        <x:v>1503.2</x:v>
      </x:c>
      <x:c r="I392" s="6" t="n">
        <x:f>G392-H392</x:f>
        <x:v>-1503.2</x:v>
      </x:c>
      <x:c r="J392" t="str">
        <x:v>20230101_3494</x:v>
      </x:c>
    </x:row>
    <x:row r="393">
      <x:c r="A393" t="n">
        <x:v>1191</x:v>
      </x:c>
      <x:c r="B393" t="n">
        <x:v>10600</x:v>
      </x:c>
      <x:c r="C393" s="8" t="n">
        <x:v>45267.5</x:v>
      </x:c>
      <x:c r="D393" t="str">
        <x:v>VRNeu95/1</x:v>
      </x:c>
      <x:c r="E393" t="str">
        <x:v>VRNeu95/1</x:v>
      </x:c>
      <x:c r="F393" t="str">
        <x:v>Gerber 2023_399</x:v>
      </x:c>
      <x:c r="G393" s="6" t="n">
        <x:v>0</x:v>
      </x:c>
      <x:c r="H393" s="6" t="n">
        <x:v>304</x:v>
      </x:c>
      <x:c r="I393" s="6" t="n">
        <x:f>G393-H393</x:f>
        <x:v>-304</x:v>
      </x:c>
      <x:c r="J393" t="str">
        <x:v>20230101_3504</x:v>
      </x:c>
    </x:row>
    <x:row r="394">
      <x:c r="A394" t="n">
        <x:v>1192</x:v>
      </x:c>
      <x:c r="B394" t="n">
        <x:v>10700</x:v>
      </x:c>
      <x:c r="C394" s="8" t="n">
        <x:v>44927.5</x:v>
      </x:c>
      <x:c r="D394" t="str">
        <x:v>41</x:v>
      </x:c>
      <x:c r="E394" t="str">
        <x:v>41</x:v>
      </x:c>
      <x:c r="F394" t="str">
        <x:v>halian</x:v>
      </x:c>
      <x:c r="G394" s="6" t="n">
        <x:v>0</x:v>
      </x:c>
      <x:c r="H394" s="6" t="n">
        <x:v>75</x:v>
      </x:c>
      <x:c r="I394" s="6" t="n">
        <x:f>G394-H394</x:f>
        <x:v>-75</x:v>
      </x:c>
      <x:c r="J394" t="str">
        <x:v>20230101_3567</x:v>
      </x:c>
    </x:row>
    <x:row r="395">
      <x:c r="A395" t="n">
        <x:v>1213</x:v>
      </x:c>
      <x:c r="B395" t="n">
        <x:v>10700</x:v>
      </x:c>
      <x:c r="C395" s="8" t="n">
        <x:v>44927.5</x:v>
      </x:c>
      <x:c r="D395" t="str">
        <x:v>43</x:v>
      </x:c>
      <x:c r="E395" t="str">
        <x:v>43</x:v>
      </x:c>
      <x:c r="F395" t="str">
        <x:v>hoffmann</x:v>
      </x:c>
      <x:c r="G395" s="6" t="n">
        <x:v>0</x:v>
      </x:c>
      <x:c r="H395" s="6" t="n">
        <x:v>420</x:v>
      </x:c>
      <x:c r="I395" s="6" t="n">
        <x:f>G395-H395</x:f>
        <x:v>-420</x:v>
      </x:c>
      <x:c r="J395" t="str">
        <x:v>20230101_2452</x:v>
      </x:c>
    </x:row>
    <x:row r="396">
      <x:c r="A396" t="n">
        <x:v>1214</x:v>
      </x:c>
      <x:c r="B396" t="n">
        <x:v>10700</x:v>
      </x:c>
      <x:c r="C396" s="8" t="n">
        <x:v>44927.5</x:v>
      </x:c>
      <x:c r="D396" t="str">
        <x:v>141</x:v>
      </x:c>
      <x:c r="E396" t="str">
        <x:v>141</x:v>
      </x:c>
      <x:c r="F396" t="str">
        <x:v>hecht</x:v>
      </x:c>
      <x:c r="G396" s="6" t="n">
        <x:v>0</x:v>
      </x:c>
      <x:c r="H396" s="6" t="n">
        <x:v>424.8</x:v>
      </x:c>
      <x:c r="I396" s="6" t="n">
        <x:f>G396-H396</x:f>
        <x:v>-424.8</x:v>
      </x:c>
      <x:c r="J396" t="str">
        <x:v>20230101_2453</x:v>
      </x:c>
    </x:row>
    <x:row r="397">
      <x:c r="A397" t="n">
        <x:v>1215</x:v>
      </x:c>
      <x:c r="B397" t="n">
        <x:v>10700</x:v>
      </x:c>
      <x:c r="C397" s="8" t="n">
        <x:v>44927.5</x:v>
      </x:c>
      <x:c r="D397" t="str">
        <x:v>182</x:v>
      </x:c>
      <x:c r="E397" t="str">
        <x:v>182</x:v>
      </x:c>
      <x:c r="F397" t="str">
        <x:v>hepke</x:v>
      </x:c>
      <x:c r="G397" s="6" t="n">
        <x:v>0</x:v>
      </x:c>
      <x:c r="H397" s="6" t="n">
        <x:v>1272</x:v>
      </x:c>
      <x:c r="I397" s="6" t="n">
        <x:f>G397-H397</x:f>
        <x:v>-1272</x:v>
      </x:c>
      <x:c r="J397" t="str">
        <x:v>20230101_2454</x:v>
      </x:c>
    </x:row>
    <x:row r="398">
      <x:c r="A398" t="n">
        <x:v>1216</x:v>
      </x:c>
      <x:c r="B398" t="n">
        <x:v>10700</x:v>
      </x:c>
      <x:c r="C398" s="8" t="n">
        <x:v>45016.5</x:v>
      </x:c>
      <x:c r="D398" t="str">
        <x:v>220</x:v>
      </x:c>
      <x:c r="E398" t="str">
        <x:v>220</x:v>
      </x:c>
      <x:c r="F398" t="str">
        <x:v>Hstenteufel, Costa Rica</x:v>
      </x:c>
      <x:c r="G398" s="6" t="n">
        <x:v>5950</x:v>
      </x:c>
      <x:c r="H398" s="6" t="n">
        <x:v>0</x:v>
      </x:c>
      <x:c r="I398" s="6" t="n">
        <x:f>G398-H398</x:f>
        <x:v>5950</x:v>
      </x:c>
      <x:c r="J398" t="str">
        <x:v>20230101_2742</x:v>
      </x:c>
    </x:row>
    <x:row r="399">
      <x:c r="A399" t="n">
        <x:v>1217</x:v>
      </x:c>
      <x:c r="B399" t="n">
        <x:v>10700</x:v>
      </x:c>
      <x:c r="C399" s="8" t="n">
        <x:v>45019.5</x:v>
      </x:c>
      <x:c r="D399" t="str">
        <x:v>223</x:v>
      </x:c>
      <x:c r="E399" t="str">
        <x:v>223</x:v>
      </x:c>
      <x:c r="F399" t="str">
        <x:v>Hintz, Costa Rica</x:v>
      </x:c>
      <x:c r="G399" s="6" t="n">
        <x:v>1395</x:v>
      </x:c>
      <x:c r="H399" s="6" t="n">
        <x:v>0</x:v>
      </x:c>
      <x:c r="I399" s="6" t="n">
        <x:f>G399-H399</x:f>
        <x:v>1395</x:v>
      </x:c>
      <x:c r="J399" t="str">
        <x:v>20230101_2746</x:v>
      </x:c>
    </x:row>
    <x:row r="400">
      <x:c r="A400" t="n">
        <x:v>1218</x:v>
      </x:c>
      <x:c r="B400" t="n">
        <x:v>10700</x:v>
      </x:c>
      <x:c r="C400" s="8" t="n">
        <x:v>44927.5</x:v>
      </x:c>
      <x:c r="D400" t="str">
        <x:v>226</x:v>
      </x:c>
      <x:c r="E400" t="str">
        <x:v>226</x:v>
      </x:c>
      <x:c r="F400" t="str">
        <x:v>howitz</x:v>
      </x:c>
      <x:c r="G400" s="6" t="n">
        <x:v>0</x:v>
      </x:c>
      <x:c r="H400" s="6" t="n">
        <x:v>12</x:v>
      </x:c>
      <x:c r="I400" s="6" t="n">
        <x:f>G400-H400</x:f>
        <x:v>-12</x:v>
      </x:c>
      <x:c r="J400" t="str">
        <x:v>20230101_2455</x:v>
      </x:c>
    </x:row>
    <x:row r="401">
      <x:c r="A401" t="n">
        <x:v>1219</x:v>
      </x:c>
      <x:c r="B401" t="n">
        <x:v>10700</x:v>
      </x:c>
      <x:c r="C401" s="8" t="n">
        <x:v>44927.5</x:v>
      </x:c>
      <x:c r="D401" t="str">
        <x:v>244</x:v>
      </x:c>
      <x:c r="E401" t="str">
        <x:v>244</x:v>
      </x:c>
      <x:c r="F401" t="str">
        <x:v>Vortragsaktualisierung</x:v>
      </x:c>
      <x:c r="G401" s="6" t="n">
        <x:v>5102</x:v>
      </x:c>
      <x:c r="H401" s="6" t="n">
        <x:v>0</x:v>
      </x:c>
      <x:c r="I401" s="6" t="n">
        <x:f>G401-H401</x:f>
        <x:v>5102</x:v>
      </x:c>
      <x:c r="J401" t="str">
        <x:v>20230101_2422</x:v>
      </x:c>
    </x:row>
    <x:row r="402">
      <x:c r="A402" t="n">
        <x:v>1220</x:v>
      </x:c>
      <x:c r="B402" t="n">
        <x:v>10700</x:v>
      </x:c>
      <x:c r="C402" s="8" t="n">
        <x:v>45035.5</x:v>
      </x:c>
      <x:c r="D402" t="str">
        <x:v>2023%252</x:v>
      </x:c>
      <x:c r="E402" t="str">
        <x:v>2023%252</x:v>
      </x:c>
      <x:c r="F402" t="str">
        <x:v>Melanie Hoffmann-Rothe</x:v>
      </x:c>
      <x:c r="G402" s="6" t="n">
        <x:v>2869</x:v>
      </x:c>
      <x:c r="H402" s="6" t="n">
        <x:v>0</x:v>
      </x:c>
      <x:c r="I402" s="6" t="n">
        <x:f>G402-H402</x:f>
        <x:v>2869</x:v>
      </x:c>
      <x:c r="J402" t="str">
        <x:v>20230101_2848</x:v>
      </x:c>
    </x:row>
    <x:row r="403">
      <x:c r="A403" t="n">
        <x:v>1221</x:v>
      </x:c>
      <x:c r="B403" t="n">
        <x:v>10700</x:v>
      </x:c>
      <x:c r="C403" s="8" t="n">
        <x:v>45043.5</x:v>
      </x:c>
      <x:c r="D403" t="str">
        <x:v>2023%265</x:v>
      </x:c>
      <x:c r="E403" t="str">
        <x:v>2023%265</x:v>
      </x:c>
      <x:c r="F403" t="str">
        <x:v>Moa Hylander</x:v>
      </x:c>
      <x:c r="G403" s="6" t="n">
        <x:v>810</x:v>
      </x:c>
      <x:c r="H403" s="6" t="n">
        <x:v>0</x:v>
      </x:c>
      <x:c r="I403" s="6" t="n">
        <x:f>G403-H403</x:f>
        <x:v>810</x:v>
      </x:c>
      <x:c r="J403" t="str">
        <x:v>20230101_2907</x:v>
      </x:c>
    </x:row>
    <x:row r="404">
      <x:c r="A404" t="n">
        <x:v>1222</x:v>
      </x:c>
      <x:c r="B404" t="n">
        <x:v>10700</x:v>
      </x:c>
      <x:c r="C404" s="8" t="n">
        <x:v>45128.5</x:v>
      </x:c>
      <x:c r="D404" t="str">
        <x:v>2023%333</x:v>
      </x:c>
      <x:c r="E404" t="str">
        <x:v>2023%333</x:v>
      </x:c>
      <x:c r="F404" t="str">
        <x:v>Haller</x:v>
      </x:c>
      <x:c r="G404" s="6" t="n">
        <x:v>2009</x:v>
      </x:c>
      <x:c r="H404" s="6" t="n">
        <x:v>0</x:v>
      </x:c>
      <x:c r="I404" s="6" t="n">
        <x:f>G404-H404</x:f>
        <x:v>2009</x:v>
      </x:c>
      <x:c r="J404" t="str">
        <x:v>20230101_3244</x:v>
      </x:c>
    </x:row>
    <x:row r="405">
      <x:c r="A405" t="n">
        <x:v>1223</x:v>
      </x:c>
      <x:c r="B405" t="n">
        <x:v>10700</x:v>
      </x:c>
      <x:c r="C405" s="8" t="n">
        <x:v>45180.5</x:v>
      </x:c>
      <x:c r="D405" t="str">
        <x:v>2023%376</x:v>
      </x:c>
      <x:c r="E405" t="str">
        <x:v>2023%376</x:v>
      </x:c>
      <x:c r="F405" t="str">
        <x:v>Hasi</x:v>
      </x:c>
      <x:c r="G405" s="6" t="n">
        <x:v>790</x:v>
      </x:c>
      <x:c r="H405" s="6" t="n">
        <x:v>0</x:v>
      </x:c>
      <x:c r="I405" s="6" t="n">
        <x:f>G405-H405</x:f>
        <x:v>790</x:v>
      </x:c>
      <x:c r="J405" t="str">
        <x:v>20230101_3350</x:v>
      </x:c>
    </x:row>
    <x:row r="406">
      <x:c r="A406" t="n">
        <x:v>1224</x:v>
      </x:c>
      <x:c r="B406" t="n">
        <x:v>10700</x:v>
      </x:c>
      <x:c r="C406" s="8" t="n">
        <x:v>45091.5</x:v>
      </x:c>
      <x:c r="D406" t="str">
        <x:v>51/2</x:v>
      </x:c>
      <x:c r="E406" t="str">
        <x:v>51/2</x:v>
      </x:c>
      <x:c r="F406" t="str">
        <x:v>Charltte Hartmann</x:v>
      </x:c>
      <x:c r="G406" s="6" t="n">
        <x:v>990</x:v>
      </x:c>
      <x:c r="H406" s="6" t="n">
        <x:v>0</x:v>
      </x:c>
      <x:c r="I406" s="6" t="n">
        <x:f>G406-H406</x:f>
        <x:v>990</x:v>
      </x:c>
      <x:c r="J406" t="str">
        <x:v>20230101_3103</x:v>
      </x:c>
    </x:row>
    <x:row r="407">
      <x:c r="A407" t="n">
        <x:v>1225</x:v>
      </x:c>
      <x:c r="B407" t="n">
        <x:v>10700</x:v>
      </x:c>
      <x:c r="C407" s="8" t="n">
        <x:v>45092.5</x:v>
      </x:c>
      <x:c r="D407" t="str">
        <x:v>51/3</x:v>
      </x:c>
      <x:c r="E407" t="str">
        <x:v>51/3</x:v>
      </x:c>
      <x:c r="F407" t="str">
        <x:v>Sarah Hammouda</x:v>
      </x:c>
      <x:c r="G407" s="6" t="n">
        <x:v>1795</x:v>
      </x:c>
      <x:c r="H407" s="6" t="n">
        <x:v>0</x:v>
      </x:c>
      <x:c r="I407" s="6" t="n">
        <x:f>G407-H407</x:f>
        <x:v>1795</x:v>
      </x:c>
      <x:c r="J407" t="str">
        <x:v>20230101_3110</x:v>
      </x:c>
    </x:row>
    <x:row r="408">
      <x:c r="A408" t="n">
        <x:v>1226</x:v>
      </x:c>
      <x:c r="B408" t="n">
        <x:v>10700</x:v>
      </x:c>
      <x:c r="C408" s="8" t="n">
        <x:v>45323.5</x:v>
      </x:c>
      <x:c r="D408" t="str">
        <x:v>51/3</x:v>
      </x:c>
      <x:c r="E408" t="str">
        <x:v>51/3</x:v>
      </x:c>
      <x:c r="F408" t="str">
        <x:v>Umb. 10069 Sarah Hammouda 2023-307</x:v>
      </x:c>
      <x:c r="G408" s="6" t="n">
        <x:v>0</x:v>
      </x:c>
      <x:c r="H408" s="6" t="n">
        <x:v>1094.95</x:v>
      </x:c>
      <x:c r="I408" s="6" t="n">
        <x:f>G408-H408</x:f>
        <x:v>-1094.95</x:v>
      </x:c>
      <x:c r="J408" t="str">
        <x:v>20240101_9628</x:v>
      </x:c>
    </x:row>
    <x:row r="409">
      <x:c r="A409" t="n">
        <x:v>1227</x:v>
      </x:c>
      <x:c r="B409" t="n">
        <x:v>10700</x:v>
      </x:c>
      <x:c r="C409" s="8" t="n">
        <x:v>44988.5</x:v>
      </x:c>
      <x:c r="D409" t="str">
        <x:v>VRNeu13/2</x:v>
      </x:c>
      <x:c r="E409" t="str">
        <x:v>VRNeu13/2</x:v>
      </x:c>
      <x:c r="F409" t="str">
        <x:v>Nele Hollkott 2022-247</x:v>
      </x:c>
      <x:c r="G409" s="6" t="n">
        <x:v>0</x:v>
      </x:c>
      <x:c r="H409" s="6" t="n">
        <x:v>915</x:v>
      </x:c>
      <x:c r="I409" s="6" t="n">
        <x:f>G409-H409</x:f>
        <x:v>-915</x:v>
      </x:c>
      <x:c r="J409" t="str">
        <x:v>20230101_2645</x:v>
      </x:c>
    </x:row>
    <x:row r="410">
      <x:c r="A410" t="n">
        <x:v>1228</x:v>
      </x:c>
      <x:c r="B410" t="n">
        <x:v>10700</x:v>
      </x:c>
      <x:c r="C410" s="8" t="n">
        <x:v>44935.5</x:v>
      </x:c>
      <x:c r="D410" t="str">
        <x:v>VRNeu2/1</x:v>
      </x:c>
      <x:c r="E410" t="str">
        <x:v>VRNeu2/1</x:v>
      </x:c>
      <x:c r="F410" t="str">
        <x:v>Dr. Antje Howitz 2022-226</x:v>
      </x:c>
      <x:c r="G410" s="6" t="n">
        <x:v>0</x:v>
      </x:c>
      <x:c r="H410" s="6" t="n">
        <x:v>1983.2</x:v>
      </x:c>
      <x:c r="I410" s="6" t="n">
        <x:f>G410-H410</x:f>
        <x:v>-1983.2</x:v>
      </x:c>
      <x:c r="J410" t="str">
        <x:v>20230101_2503</x:v>
      </x:c>
    </x:row>
    <x:row r="411">
      <x:c r="A411" t="n">
        <x:v>1229</x:v>
      </x:c>
      <x:c r="B411" t="n">
        <x:v>10700</x:v>
      </x:c>
      <x:c r="C411" s="8" t="n">
        <x:v>45019.5</x:v>
      </x:c>
      <x:c r="D411" t="str">
        <x:v>VRNeu24/3</x:v>
      </x:c>
      <x:c r="E411" t="str">
        <x:v>VRNeu24/3</x:v>
      </x:c>
      <x:c r="F411" t="str">
        <x:v>Rebbe + Hastenteufel 2023-150</x:v>
      </x:c>
      <x:c r="G411" s="6" t="n">
        <x:v>0</x:v>
      </x:c>
      <x:c r="H411" s="6" t="n">
        <x:v>1190</x:v>
      </x:c>
      <x:c r="I411" s="6" t="n">
        <x:f>G411-H411</x:f>
        <x:v>-1190</x:v>
      </x:c>
      <x:c r="J411" t="str">
        <x:v>20230101_2753</x:v>
      </x:c>
    </x:row>
    <x:row r="412">
      <x:c r="A412" t="n">
        <x:v>1230</x:v>
      </x:c>
      <x:c r="B412" t="n">
        <x:v>10700</x:v>
      </x:c>
      <x:c r="C412" s="8" t="n">
        <x:v>45022.5</x:v>
      </x:c>
      <x:c r="D412" t="str">
        <x:v>VRNeu27/1</x:v>
      </x:c>
      <x:c r="E412" t="str">
        <x:v>VRNeu27/1</x:v>
      </x:c>
      <x:c r="F412" t="str">
        <x:v>Wenzel Hinz RE 2023-223</x:v>
      </x:c>
      <x:c r="G412" s="6" t="n">
        <x:v>0</x:v>
      </x:c>
      <x:c r="H412" s="6" t="n">
        <x:v>279</x:v>
      </x:c>
      <x:c r="I412" s="6" t="n">
        <x:f>G412-H412</x:f>
        <x:v>-279</x:v>
      </x:c>
      <x:c r="J412" t="str">
        <x:v>20230101_2771</x:v>
      </x:c>
    </x:row>
    <x:row r="413">
      <x:c r="A413" t="n">
        <x:v>1231</x:v>
      </x:c>
      <x:c r="B413" t="n">
        <x:v>10700</x:v>
      </x:c>
      <x:c r="C413" s="8" t="n">
        <x:v>45071.5</x:v>
      </x:c>
      <x:c r="D413" t="str">
        <x:v>VRNeu43</x:v>
      </x:c>
      <x:c r="E413" t="str">
        <x:v>VRNeu43</x:v>
      </x:c>
      <x:c r="F413" t="str">
        <x:v>Hasenteufel 2023_220</x:v>
      </x:c>
      <x:c r="G413" s="6" t="n">
        <x:v>0</x:v>
      </x:c>
      <x:c r="H413" s="6" t="n">
        <x:v>2760</x:v>
      </x:c>
      <x:c r="I413" s="6" t="n">
        <x:f>G413-H413</x:f>
        <x:v>-2760</x:v>
      </x:c>
      <x:c r="J413" t="str">
        <x:v>20230101_3017</x:v>
      </x:c>
    </x:row>
    <x:row r="414">
      <x:c r="A414" t="n">
        <x:v>1232</x:v>
      </x:c>
      <x:c r="B414" t="n">
        <x:v>10700</x:v>
      </x:c>
      <x:c r="C414" s="8" t="n">
        <x:v>45096.5</x:v>
      </x:c>
      <x:c r="D414" t="str">
        <x:v>VRNeu50/3</x:v>
      </x:c>
      <x:c r="E414" t="str">
        <x:v>VRNeu50/3</x:v>
      </x:c>
      <x:c r="F414" t="str">
        <x:v>Hofmmann-Rothe 2023_252</x:v>
      </x:c>
      <x:c r="G414" s="6" t="n">
        <x:v>0</x:v>
      </x:c>
      <x:c r="H414" s="6" t="n">
        <x:v>555.8</x:v>
      </x:c>
      <x:c r="I414" s="6" t="n">
        <x:f>G414-H414</x:f>
        <x:v>-555.8</x:v>
      </x:c>
      <x:c r="J414" t="str">
        <x:v>20230101_3122</x:v>
      </x:c>
    </x:row>
    <x:row r="415">
      <x:c r="A415" t="n">
        <x:v>1233</x:v>
      </x:c>
      <x:c r="B415" t="n">
        <x:v>10700</x:v>
      </x:c>
      <x:c r="C415" s="8" t="n">
        <x:v>45096.5</x:v>
      </x:c>
      <x:c r="D415" t="str">
        <x:v>VRNeu50/3</x:v>
      </x:c>
      <x:c r="E415" t="str">
        <x:v>VRNeu50/3</x:v>
      </x:c>
      <x:c r="F415" t="str">
        <x:v>Hastenteutel 2023-220</x:v>
      </x:c>
      <x:c r="G415" s="6" t="n">
        <x:v>0</x:v>
      </x:c>
      <x:c r="H415" s="6" t="n">
        <x:v>2000</x:v>
      </x:c>
      <x:c r="I415" s="6" t="n">
        <x:f>G415-H415</x:f>
        <x:v>-2000</x:v>
      </x:c>
      <x:c r="J415" t="str">
        <x:v>20230101_3123</x:v>
      </x:c>
    </x:row>
    <x:row r="416">
      <x:c r="A416" t="n">
        <x:v>1234</x:v>
      </x:c>
      <x:c r="B416" t="n">
        <x:v>10700</x:v>
      </x:c>
      <x:c r="C416" s="8" t="n">
        <x:v>45098.5</x:v>
      </x:c>
      <x:c r="D416" t="str">
        <x:v>VRNeu51/2</x:v>
      </x:c>
      <x:c r="E416" t="str">
        <x:v>VRNeu51/2</x:v>
      </x:c>
      <x:c r="F416" t="str">
        <x:v>Jan Elhoj Hansen 2023_167 Greece</x:v>
      </x:c>
      <x:c r="G416" s="6" t="n">
        <x:v>0</x:v>
      </x:c>
      <x:c r="H416" s="6" t="n">
        <x:v>1272</x:v>
      </x:c>
      <x:c r="I416" s="6" t="n">
        <x:f>G416-H416</x:f>
        <x:v>-1272</x:v>
      </x:c>
      <x:c r="J416" t="str">
        <x:v>20230101_3129</x:v>
      </x:c>
    </x:row>
    <x:row r="417">
      <x:c r="A417" t="n">
        <x:v>1235</x:v>
      </x:c>
      <x:c r="B417" t="n">
        <x:v>10700</x:v>
      </x:c>
      <x:c r="C417" s="8" t="n">
        <x:v>45103.5</x:v>
      </x:c>
      <x:c r="D417" t="str">
        <x:v>VRNeu51/2</x:v>
      </x:c>
      <x:c r="E417" t="str">
        <x:v>VRNeu51/2</x:v>
      </x:c>
      <x:c r="F417" t="str">
        <x:v>Charlotte Hatmann 2023_301</x:v>
      </x:c>
      <x:c r="G417" s="6" t="n">
        <x:v>0</x:v>
      </x:c>
      <x:c r="H417" s="6" t="n">
        <x:v>990</x:v>
      </x:c>
      <x:c r="I417" s="6" t="n">
        <x:f>G417-H417</x:f>
        <x:v>-990</x:v>
      </x:c>
      <x:c r="J417" t="str">
        <x:v>20230101_3154</x:v>
      </x:c>
    </x:row>
    <x:row r="418">
      <x:c r="A418" t="n">
        <x:v>1236</x:v>
      </x:c>
      <x:c r="B418" t="n">
        <x:v>10700</x:v>
      </x:c>
      <x:c r="C418" s="8" t="n">
        <x:v>45103.5</x:v>
      </x:c>
      <x:c r="D418" t="str">
        <x:v>VRNeu51/3</x:v>
      </x:c>
      <x:c r="E418" t="str">
        <x:v>VRNeu51/3</x:v>
      </x:c>
      <x:c r="F418" t="str">
        <x:v>Hammouda Sarah 2032_307</x:v>
      </x:c>
      <x:c r="G418" s="6" t="n">
        <x:v>0</x:v>
      </x:c>
      <x:c r="H418" s="6" t="n">
        <x:v>359</x:v>
      </x:c>
      <x:c r="I418" s="6" t="n">
        <x:f>G418-H418</x:f>
        <x:v>-359</x:v>
      </x:c>
      <x:c r="J418" t="str">
        <x:v>20230101_3155</x:v>
      </x:c>
    </x:row>
    <x:row r="419">
      <x:c r="A419" t="n">
        <x:v>1237</x:v>
      </x:c>
      <x:c r="B419" t="n">
        <x:v>10700</x:v>
      </x:c>
      <x:c r="C419" s="8" t="n">
        <x:v>45132.5</x:v>
      </x:c>
      <x:c r="D419" t="str">
        <x:v>VRNeu58/1</x:v>
      </x:c>
      <x:c r="E419" t="str">
        <x:v>VRNeu58/1</x:v>
      </x:c>
      <x:c r="F419" t="str">
        <x:v>Haller 2023 - 333</x:v>
      </x:c>
      <x:c r="G419" s="6" t="n">
        <x:v>0</x:v>
      </x:c>
      <x:c r="H419" s="6" t="n">
        <x:v>401.8</x:v>
      </x:c>
      <x:c r="I419" s="6" t="n">
        <x:f>G419-H419</x:f>
        <x:v>-401.8</x:v>
      </x:c>
      <x:c r="J419" t="str">
        <x:v>20230101_3266</x:v>
      </x:c>
    </x:row>
    <x:row r="420">
      <x:c r="A420" t="n">
        <x:v>1238</x:v>
      </x:c>
      <x:c r="B420" t="n">
        <x:v>10700</x:v>
      </x:c>
      <x:c r="C420" s="8" t="n">
        <x:v>45139.5</x:v>
      </x:c>
      <x:c r="D420" t="str">
        <x:v>VRNeu60/2</x:v>
      </x:c>
      <x:c r="E420" t="str">
        <x:v>VRNeu60/2</x:v>
      </x:c>
      <x:c r="F420" t="str">
        <x:v>Pernilla Hylander 2023-265</x:v>
      </x:c>
      <x:c r="G420" s="6" t="n">
        <x:v>0</x:v>
      </x:c>
      <x:c r="H420" s="6" t="n">
        <x:v>648</x:v>
      </x:c>
      <x:c r="I420" s="6" t="n">
        <x:f>G420-H420</x:f>
        <x:v>-648</x:v>
      </x:c>
      <x:c r="J420" t="str">
        <x:v>20230101_3280</x:v>
      </x:c>
    </x:row>
    <x:row r="421">
      <x:c r="A421" t="n">
        <x:v>1239</x:v>
      </x:c>
      <x:c r="B421" t="n">
        <x:v>10700</x:v>
      </x:c>
      <x:c r="C421" s="8" t="n">
        <x:v>45141.5</x:v>
      </x:c>
      <x:c r="D421" t="str">
        <x:v>VRNeu60/4</x:v>
      </x:c>
      <x:c r="E421" t="str">
        <x:v>VRNeu60/4</x:v>
      </x:c>
      <x:c r="F421" t="str">
        <x:v>Hoffmann-Rothe 2023-252</x:v>
      </x:c>
      <x:c r="G421" s="6" t="n">
        <x:v>0</x:v>
      </x:c>
      <x:c r="H421" s="6" t="n">
        <x:v>2313.2</x:v>
      </x:c>
      <x:c r="I421" s="6" t="n">
        <x:f>G421-H421</x:f>
        <x:v>-2313.2</x:v>
      </x:c>
      <x:c r="J421" t="str">
        <x:v>20230101_3290</x:v>
      </x:c>
    </x:row>
    <x:row r="422">
      <x:c r="A422" t="n">
        <x:v>1240</x:v>
      </x:c>
      <x:c r="B422" t="n">
        <x:v>10700</x:v>
      </x:c>
      <x:c r="C422" s="8" t="n">
        <x:v>45146.5</x:v>
      </x:c>
      <x:c r="D422" t="str">
        <x:v>VRNeu62/1</x:v>
      </x:c>
      <x:c r="E422" t="str">
        <x:v>VRNeu62/1</x:v>
      </x:c>
      <x:c r="F422" t="str">
        <x:v>Pernilla Hylander 2023-265</x:v>
      </x:c>
      <x:c r="G422" s="6" t="n">
        <x:v>0</x:v>
      </x:c>
      <x:c r="H422" s="6" t="n">
        <x:v>162</x:v>
      </x:c>
      <x:c r="I422" s="6" t="n">
        <x:f>G422-H422</x:f>
        <x:v>-162</x:v>
      </x:c>
      <x:c r="J422" t="str">
        <x:v>20230101_3297</x:v>
      </x:c>
    </x:row>
    <x:row r="423">
      <x:c r="A423" t="n">
        <x:v>1241</x:v>
      </x:c>
      <x:c r="B423" t="n">
        <x:v>10700</x:v>
      </x:c>
      <x:c r="C423" s="8" t="n">
        <x:v>45224.5</x:v>
      </x:c>
      <x:c r="D423" t="str">
        <x:v>VRNeu84/1</x:v>
      </x:c>
      <x:c r="E423" t="str">
        <x:v>VRNeu84/1</x:v>
      </x:c>
      <x:c r="F423" t="str">
        <x:v>Haller 2023-333</x:v>
      </x:c>
      <x:c r="G423" s="6" t="n">
        <x:v>0</x:v>
      </x:c>
      <x:c r="H423" s="6" t="n">
        <x:v>1607.2</x:v>
      </x:c>
      <x:c r="I423" s="6" t="n">
        <x:f>G423-H423</x:f>
        <x:v>-1607.2</x:v>
      </x:c>
      <x:c r="J423" t="str">
        <x:v>20230101_3427</x:v>
      </x:c>
    </x:row>
    <x:row r="424">
      <x:c r="A424" t="n">
        <x:v>1242</x:v>
      </x:c>
      <x:c r="B424" t="n">
        <x:v>10700</x:v>
      </x:c>
      <x:c r="C424" s="8" t="n">
        <x:v>45224.5</x:v>
      </x:c>
      <x:c r="D424" t="str">
        <x:v>VRNeu84/1</x:v>
      </x:c>
      <x:c r="E424" t="str">
        <x:v>VRNeu84/1</x:v>
      </x:c>
      <x:c r="F424" t="str">
        <x:v>Hai 2023-376</x:v>
      </x:c>
      <x:c r="G424" s="6" t="n">
        <x:v>0</x:v>
      </x:c>
      <x:c r="H424" s="6" t="n">
        <x:v>790</x:v>
      </x:c>
      <x:c r="I424" s="6" t="n">
        <x:f>G424-H424</x:f>
        <x:v>-790</x:v>
      </x:c>
      <x:c r="J424" t="str">
        <x:v>20230101_3428</x:v>
      </x:c>
    </x:row>
    <x:row r="425">
      <x:c r="A425" t="n">
        <x:v>1243</x:v>
      </x:c>
      <x:c r="B425" t="n">
        <x:v>10700</x:v>
      </x:c>
      <x:c r="C425" s="8" t="n">
        <x:v>45273.5</x:v>
      </x:c>
      <x:c r="D425" t="str">
        <x:v>VRNeu96/3</x:v>
      </x:c>
      <x:c r="E425" t="str">
        <x:v>VRNeu96/3</x:v>
      </x:c>
      <x:c r="F425" t="str">
        <x:v>Wetzel /Hintz 2023_223</x:v>
      </x:c>
      <x:c r="G425" s="6" t="n">
        <x:v>0</x:v>
      </x:c>
      <x:c r="H425" s="6" t="n">
        <x:v>1116</x:v>
      </x:c>
      <x:c r="I425" s="6" t="n">
        <x:f>G425-H425</x:f>
        <x:v>-1116</x:v>
      </x:c>
      <x:c r="J425" t="str">
        <x:v>20230101_3511</x:v>
      </x:c>
    </x:row>
    <x:row r="426">
      <x:c r="A426" t="n">
        <x:v>1244</x:v>
      </x:c>
      <x:c r="B426" t="n">
        <x:v>10800</x:v>
      </x:c>
      <x:c r="C426" s="8" t="n">
        <x:v>44937.5</x:v>
      </x:c>
      <x:c r="D426" t="str">
        <x:v>112</x:v>
      </x:c>
      <x:c r="E426" t="str">
        <x:v>112</x:v>
      </x:c>
      <x:c r="F426" t="str">
        <x:v>isern costa rica</x:v>
      </x:c>
      <x:c r="G426" s="6" t="n">
        <x:v>995</x:v>
      </x:c>
      <x:c r="H426" s="6" t="n">
        <x:v>0</x:v>
      </x:c>
      <x:c r="I426" s="6" t="n">
        <x:f>G426-H426</x:f>
        <x:v>995</x:v>
      </x:c>
      <x:c r="J426" t="str">
        <x:v>20230101_2511</x:v>
      </x:c>
    </x:row>
    <x:row r="427">
      <x:c r="A427" t="n">
        <x:v>1245</x:v>
      </x:c>
      <x:c r="B427" t="n">
        <x:v>10800</x:v>
      </x:c>
      <x:c r="C427" s="8" t="n">
        <x:v>44958.5</x:v>
      </x:c>
      <x:c r="D427" t="str">
        <x:v>123</x:v>
      </x:c>
      <x:c r="E427" t="str">
        <x:v>123</x:v>
      </x:c>
      <x:c r="F427" t="str">
        <x:v>ionescu greece</x:v>
      </x:c>
      <x:c r="G427" s="6" t="n">
        <x:v>334</x:v>
      </x:c>
      <x:c r="H427" s="6" t="n">
        <x:v>0</x:v>
      </x:c>
      <x:c r="I427" s="6" t="n">
        <x:f>G427-H427</x:f>
        <x:v>334</x:v>
      </x:c>
      <x:c r="J427" t="str">
        <x:v>20230101_2540</x:v>
      </x:c>
    </x:row>
    <x:row r="428">
      <x:c r="A428" t="n">
        <x:v>1250</x:v>
      </x:c>
      <x:c r="B428" t="n">
        <x:v>10800</x:v>
      </x:c>
      <x:c r="C428" s="8" t="n">
        <x:v>45126.5</x:v>
      </x:c>
      <x:c r="D428" t="str">
        <x:v>2023%330</x:v>
      </x:c>
      <x:c r="E428" t="str">
        <x:v>2023%330</x:v>
      </x:c>
      <x:c r="F428" t="str">
        <x:v>Imhof</x:v>
      </x:c>
      <x:c r="G428" s="6" t="n">
        <x:v>632</x:v>
      </x:c>
      <x:c r="H428" s="6" t="n">
        <x:v>0</x:v>
      </x:c>
      <x:c r="I428" s="6" t="n">
        <x:f>G428-H428</x:f>
        <x:v>632</x:v>
      </x:c>
      <x:c r="J428" t="str">
        <x:v>20230101_3231</x:v>
      </x:c>
    </x:row>
    <x:row r="429">
      <x:c r="A429" t="n">
        <x:v>1251</x:v>
      </x:c>
      <x:c r="B429" t="n">
        <x:v>10800</x:v>
      </x:c>
      <x:c r="C429" s="8" t="n">
        <x:v>44949.5</x:v>
      </x:c>
      <x:c r="D429" t="str">
        <x:v>VRNeu4/2</x:v>
      </x:c>
      <x:c r="E429" t="str">
        <x:v>VRNeu4/2</x:v>
      </x:c>
      <x:c r="F429" t="str">
        <x:v>Silvia Solveig Regina Isern 2023-112</x:v>
      </x:c>
      <x:c r="G429" s="6" t="n">
        <x:v>0</x:v>
      </x:c>
      <x:c r="H429" s="6" t="n">
        <x:v>199</x:v>
      </x:c>
      <x:c r="I429" s="6" t="n">
        <x:f>G429-H429</x:f>
        <x:v>-199</x:v>
      </x:c>
      <x:c r="J429" t="str">
        <x:v>20230101_2529</x:v>
      </x:c>
    </x:row>
    <x:row r="430">
      <x:c r="A430" t="n">
        <x:v>1252</x:v>
      </x:c>
      <x:c r="B430" t="n">
        <x:v>10800</x:v>
      </x:c>
      <x:c r="C430" s="8" t="n">
        <x:v>45173.5</x:v>
      </x:c>
      <x:c r="D430" t="str">
        <x:v>VRNeu68/1</x:v>
      </x:c>
      <x:c r="E430" t="str">
        <x:v>VRNeu68/1</x:v>
      </x:c>
      <x:c r="F430" t="str">
        <x:v>Jule Isern 2023-112</x:v>
      </x:c>
      <x:c r="G430" s="6" t="n">
        <x:v>0</x:v>
      </x:c>
      <x:c r="H430" s="6" t="n">
        <x:v>796</x:v>
      </x:c>
      <x:c r="I430" s="6" t="n">
        <x:f>G430-H430</x:f>
        <x:v>-796</x:v>
      </x:c>
      <x:c r="J430" t="str">
        <x:v>20230101_3330</x:v>
      </x:c>
    </x:row>
    <x:row r="431">
      <x:c r="A431" t="n">
        <x:v>1253</x:v>
      </x:c>
      <x:c r="B431" t="n">
        <x:v>10800</x:v>
      </x:c>
      <x:c r="C431" s="8" t="n">
        <x:v>45196.5</x:v>
      </x:c>
      <x:c r="D431" t="str">
        <x:v>VRNeu74/2</x:v>
      </x:c>
      <x:c r="E431" t="str">
        <x:v>VRNeu74/2</x:v>
      </x:c>
      <x:c r="F431" t="str">
        <x:v>Imhof 2023-330</x:v>
      </x:c>
      <x:c r="G431" s="6" t="n">
        <x:v>0</x:v>
      </x:c>
      <x:c r="H431" s="6" t="n">
        <x:v>505.6</x:v>
      </x:c>
      <x:c r="I431" s="6" t="n">
        <x:f>G431-H431</x:f>
        <x:v>-505.6</x:v>
      </x:c>
      <x:c r="J431" t="str">
        <x:v>20230101_3376</x:v>
      </x:c>
    </x:row>
    <x:row r="432">
      <x:c r="A432" t="n">
        <x:v>1254</x:v>
      </x:c>
      <x:c r="B432" t="n">
        <x:v>10800</x:v>
      </x:c>
      <x:c r="C432" s="8" t="n">
        <x:v>45237.5</x:v>
      </x:c>
      <x:c r="D432" t="str">
        <x:v>VRNeu87/1</x:v>
      </x:c>
      <x:c r="E432" t="str">
        <x:v>VRNeu87/1</x:v>
      </x:c>
      <x:c r="F432" t="str">
        <x:v>Imhof 2023-330</x:v>
      </x:c>
      <x:c r="G432" s="6" t="n">
        <x:v>0</x:v>
      </x:c>
      <x:c r="H432" s="6" t="n">
        <x:v>126.4</x:v>
      </x:c>
      <x:c r="I432" s="6" t="n">
        <x:f>G432-H432</x:f>
        <x:v>-126.4</x:v>
      </x:c>
      <x:c r="J432" t="str">
        <x:v>20230101_3442</x:v>
      </x:c>
    </x:row>
    <x:row r="433">
      <x:c r="A433" t="n">
        <x:v>1261</x:v>
      </x:c>
      <x:c r="B433" t="n">
        <x:v>10900</x:v>
      </x:c>
      <x:c r="C433" s="8" t="n">
        <x:v>45058.5</x:v>
      </x:c>
      <x:c r="D433" t="str">
        <x:v>2023%276</x:v>
      </x:c>
      <x:c r="E433" t="str">
        <x:v>2023%276</x:v>
      </x:c>
      <x:c r="F433" t="str">
        <x:v>Larissa Jacobsen</x:v>
      </x:c>
      <x:c r="G433" s="6" t="n">
        <x:v>585</x:v>
      </x:c>
      <x:c r="H433" s="6" t="n">
        <x:v>0</x:v>
      </x:c>
      <x:c r="I433" s="6" t="n">
        <x:f>G433-H433</x:f>
        <x:v>585</x:v>
      </x:c>
      <x:c r="J433" t="str">
        <x:v>20230101_2960</x:v>
      </x:c>
    </x:row>
    <x:row r="434">
      <x:c r="A434" t="n">
        <x:v>1262</x:v>
      </x:c>
      <x:c r="B434" t="n">
        <x:v>10900</x:v>
      </x:c>
      <x:c r="C434" s="8" t="n">
        <x:v>45061.5</x:v>
      </x:c>
      <x:c r="D434" t="str">
        <x:v>VRNeu40/1</x:v>
      </x:c>
      <x:c r="E434" t="str">
        <x:v>VRNeu40/1</x:v>
      </x:c>
      <x:c r="F434" t="str">
        <x:v>Jacobsen 2023-276</x:v>
      </x:c>
      <x:c r="G434" s="6" t="n">
        <x:v>0</x:v>
      </x:c>
      <x:c r="H434" s="6" t="n">
        <x:v>234</x:v>
      </x:c>
      <x:c r="I434" s="6" t="n">
        <x:f>G434-H434</x:f>
        <x:v>-234</x:v>
      </x:c>
      <x:c r="J434" t="str">
        <x:v>20230101_2970</x:v>
      </x:c>
    </x:row>
    <x:row r="435">
      <x:c r="A435" t="n">
        <x:v>1263</x:v>
      </x:c>
      <x:c r="B435" t="n">
        <x:v>11000</x:v>
      </x:c>
      <x:c r="C435" s="8" t="n">
        <x:v>44927.5</x:v>
      </x:c>
      <x:c r="D435" t="str">
        <x:v>100</x:v>
      </x:c>
      <x:c r="E435" t="str">
        <x:v>100</x:v>
      </x:c>
      <x:c r="F435" t="str">
        <x:v>köhl</x:v>
      </x:c>
      <x:c r="G435" s="6" t="n">
        <x:v>0</x:v>
      </x:c>
      <x:c r="H435" s="6" t="n">
        <x:v>873</x:v>
      </x:c>
      <x:c r="I435" s="6" t="n">
        <x:f>G435-H435</x:f>
        <x:v>-873</x:v>
      </x:c>
      <x:c r="J435" t="str">
        <x:v>20230101_2456</x:v>
      </x:c>
    </x:row>
    <x:row r="436">
      <x:c r="A436" t="n">
        <x:v>1264</x:v>
      </x:c>
      <x:c r="B436" t="n">
        <x:v>11000</x:v>
      </x:c>
      <x:c r="C436" s="8" t="n">
        <x:v>44949.5</x:v>
      </x:c>
      <x:c r="D436" t="str">
        <x:v>119</x:v>
      </x:c>
      <x:c r="E436" t="str">
        <x:v>119</x:v>
      </x:c>
      <x:c r="F436" t="str">
        <x:v>koch costa rica</x:v>
      </x:c>
      <x:c r="G436" s="6" t="n">
        <x:v>3000</x:v>
      </x:c>
      <x:c r="H436" s="6" t="n">
        <x:v>0</x:v>
      </x:c>
      <x:c r="I436" s="6" t="n">
        <x:f>G436-H436</x:f>
        <x:v>3000</x:v>
      </x:c>
      <x:c r="J436" t="str">
        <x:v>20230101_2527</x:v>
      </x:c>
    </x:row>
    <x:row r="437">
      <x:c r="A437" t="n">
        <x:v>1265</x:v>
      </x:c>
      <x:c r="B437" t="n">
        <x:v>11000</x:v>
      </x:c>
      <x:c r="C437" s="8" t="n">
        <x:v>44949.5</x:v>
      </x:c>
      <x:c r="D437" t="str">
        <x:v>119</x:v>
      </x:c>
      <x:c r="E437" t="str">
        <x:v>119</x:v>
      </x:c>
      <x:c r="F437" t="str">
        <x:v>koch</x:v>
      </x:c>
      <x:c r="G437" s="6" t="n">
        <x:v>0</x:v>
      </x:c>
      <x:c r="H437" s="6" t="n">
        <x:v>2400</x:v>
      </x:c>
      <x:c r="I437" s="6" t="n">
        <x:f>G437-H437</x:f>
        <x:v>-2400</x:v>
      </x:c>
      <x:c r="J437" t="str">
        <x:v>20230101_2530</x:v>
      </x:c>
    </x:row>
    <x:row r="438">
      <x:c r="A438" t="n">
        <x:v>1266</x:v>
      </x:c>
      <x:c r="B438" t="n">
        <x:v>11000</x:v>
      </x:c>
      <x:c r="C438" s="8" t="n">
        <x:v>44952.5</x:v>
      </x:c>
      <x:c r="D438" t="str">
        <x:v>120</x:v>
      </x:c>
      <x:c r="E438" t="str">
        <x:v>120</x:v>
      </x:c>
      <x:c r="F438" t="str">
        <x:v>karger costa rica</x:v>
      </x:c>
      <x:c r="G438" s="6" t="n">
        <x:v>795</x:v>
      </x:c>
      <x:c r="H438" s="6" t="n">
        <x:v>0</x:v>
      </x:c>
      <x:c r="I438" s="6" t="n">
        <x:f>G438-H438</x:f>
        <x:v>795</x:v>
      </x:c>
      <x:c r="J438" t="str">
        <x:v>20230101_2534</x:v>
      </x:c>
    </x:row>
    <x:row r="439">
      <x:c r="A439" t="n">
        <x:v>1267</x:v>
      </x:c>
      <x:c r="B439" t="n">
        <x:v>11000</x:v>
      </x:c>
      <x:c r="C439" s="8" t="n">
        <x:v>44965.5</x:v>
      </x:c>
      <x:c r="D439" t="str">
        <x:v>131</x:v>
      </x:c>
      <x:c r="E439" t="str">
        <x:v>131</x:v>
      </x:c>
      <x:c r="F439" t="str">
        <x:v>kampka costa rica</x:v>
      </x:c>
      <x:c r="G439" s="6" t="n">
        <x:v>940</x:v>
      </x:c>
      <x:c r="H439" s="6" t="n">
        <x:v>0</x:v>
      </x:c>
      <x:c r="I439" s="6" t="n">
        <x:f>G439-H439</x:f>
        <x:v>940</x:v>
      </x:c>
      <x:c r="J439" t="str">
        <x:v>20230101_2556</x:v>
      </x:c>
    </x:row>
    <x:row r="440">
      <x:c r="A440" t="n">
        <x:v>1268</x:v>
      </x:c>
      <x:c r="B440" t="n">
        <x:v>11000</x:v>
      </x:c>
      <x:c r="C440" s="8" t="n">
        <x:v>44973.5</x:v>
      </x:c>
      <x:c r="D440" t="str">
        <x:v>144</x:v>
      </x:c>
      <x:c r="E440" t="str">
        <x:v>144</x:v>
      </x:c>
      <x:c r="F440" t="str">
        <x:v>Kamionka, Costa Rica</x:v>
      </x:c>
      <x:c r="G440" s="6" t="n">
        <x:v>4095</x:v>
      </x:c>
      <x:c r="H440" s="6" t="n">
        <x:v>0</x:v>
      </x:c>
      <x:c r="I440" s="6" t="n">
        <x:f>G440-H440</x:f>
        <x:v>4095</x:v>
      </x:c>
      <x:c r="J440" t="str">
        <x:v>110000000_144_R4</x:v>
      </x:c>
    </x:row>
    <x:row r="441">
      <x:c r="A441" t="n">
        <x:v>1269</x:v>
      </x:c>
      <x:c r="B441" t="n">
        <x:v>11000</x:v>
      </x:c>
      <x:c r="C441" s="8" t="n">
        <x:v>44973.5</x:v>
      </x:c>
      <x:c r="D441" t="str">
        <x:v>146</x:v>
      </x:c>
      <x:c r="E441" t="str">
        <x:v>146</x:v>
      </x:c>
      <x:c r="F441" t="str">
        <x:v>Knoll, Costa Rica</x:v>
      </x:c>
      <x:c r="G441" s="6" t="n">
        <x:v>541</x:v>
      </x:c>
      <x:c r="H441" s="6" t="n">
        <x:v>0</x:v>
      </x:c>
      <x:c r="I441" s="6" t="n">
        <x:f>G441-H441</x:f>
        <x:v>541</x:v>
      </x:c>
      <x:c r="J441" t="str">
        <x:v>20230101_2577</x:v>
      </x:c>
    </x:row>
    <x:row r="442">
      <x:c r="A442" t="n">
        <x:v>1270</x:v>
      </x:c>
      <x:c r="B442" t="n">
        <x:v>11000</x:v>
      </x:c>
      <x:c r="C442" s="8" t="n">
        <x:v>44977.5</x:v>
      </x:c>
      <x:c r="D442" t="str">
        <x:v>146</x:v>
      </x:c>
      <x:c r="E442" t="str">
        <x:v>146</x:v>
      </x:c>
      <x:c r="F442" t="str">
        <x:v>Knoll, Costa Rica</x:v>
      </x:c>
      <x:c r="G442" s="6" t="n">
        <x:v>2164</x:v>
      </x:c>
      <x:c r="H442" s="6" t="n">
        <x:v>0</x:v>
      </x:c>
      <x:c r="I442" s="6" t="n">
        <x:f>G442-H442</x:f>
        <x:v>2164</x:v>
      </x:c>
      <x:c r="J442" t="str">
        <x:v>20230101_2586</x:v>
      </x:c>
    </x:row>
    <x:row r="443">
      <x:c r="A443" t="n">
        <x:v>1271</x:v>
      </x:c>
      <x:c r="B443" t="n">
        <x:v>11000</x:v>
      </x:c>
      <x:c r="C443" s="8" t="n">
        <x:v>44980.5</x:v>
      </x:c>
      <x:c r="D443" t="str">
        <x:v>159</x:v>
      </x:c>
      <x:c r="E443" t="str">
        <x:v>159</x:v>
      </x:c>
      <x:c r="F443" t="str">
        <x:v>Krauß, Südafrika</x:v>
      </x:c>
      <x:c r="G443" s="6" t="n">
        <x:v>1675</x:v>
      </x:c>
      <x:c r="H443" s="6" t="n">
        <x:v>0</x:v>
      </x:c>
      <x:c r="I443" s="6" t="n">
        <x:f>G443-H443</x:f>
        <x:v>1675</x:v>
      </x:c>
      <x:c r="J443" t="str">
        <x:v>20230101_2608</x:v>
      </x:c>
    </x:row>
    <x:row r="444">
      <x:c r="A444" t="n">
        <x:v>1272</x:v>
      </x:c>
      <x:c r="B444" t="n">
        <x:v>11000</x:v>
      </x:c>
      <x:c r="C444" s="8" t="n">
        <x:v>44927.5</x:v>
      </x:c>
      <x:c r="D444" t="str">
        <x:v>167</x:v>
      </x:c>
      <x:c r="E444" t="str">
        <x:v>167</x:v>
      </x:c>
      <x:c r="F444" t="str">
        <x:v>kösler</x:v>
      </x:c>
      <x:c r="G444" s="6" t="n">
        <x:v>0</x:v>
      </x:c>
      <x:c r="H444" s="6" t="n">
        <x:v>229</x:v>
      </x:c>
      <x:c r="I444" s="6" t="n">
        <x:f>G444-H444</x:f>
        <x:v>-229</x:v>
      </x:c>
      <x:c r="J444" t="str">
        <x:v>20230101_3568</x:v>
      </x:c>
    </x:row>
    <x:row r="445">
      <x:c r="A445" t="n">
        <x:v>1273</x:v>
      </x:c>
      <x:c r="B445" t="n">
        <x:v>11000</x:v>
      </x:c>
      <x:c r="C445" s="8" t="n">
        <x:v>44998.5</x:v>
      </x:c>
      <x:c r="D445" t="str">
        <x:v>183</x:v>
      </x:c>
      <x:c r="E445" t="str">
        <x:v>183</x:v>
      </x:c>
      <x:c r="F445" t="str">
        <x:v>Krisam, Costa Rica</x:v>
      </x:c>
      <x:c r="G445" s="6" t="n">
        <x:v>2265</x:v>
      </x:c>
      <x:c r="H445" s="6" t="n">
        <x:v>0</x:v>
      </x:c>
      <x:c r="I445" s="6" t="n">
        <x:f>G445-H445</x:f>
        <x:v>2265</x:v>
      </x:c>
      <x:c r="J445" t="str">
        <x:v>20230101_2665</x:v>
      </x:c>
    </x:row>
    <x:row r="446">
      <x:c r="A446" t="n">
        <x:v>1274</x:v>
      </x:c>
      <x:c r="B446" t="n">
        <x:v>11000</x:v>
      </x:c>
      <x:c r="C446" s="8" t="n">
        <x:v>45002.5</x:v>
      </x:c>
      <x:c r="D446" t="str">
        <x:v>203</x:v>
      </x:c>
      <x:c r="E446" t="str">
        <x:v>203</x:v>
      </x:c>
      <x:c r="F446" t="str">
        <x:v>Keßler, Costa Rica</x:v>
      </x:c>
      <x:c r="G446" s="6" t="n">
        <x:v>1627</x:v>
      </x:c>
      <x:c r="H446" s="6" t="n">
        <x:v>0</x:v>
      </x:c>
      <x:c r="I446" s="6" t="n">
        <x:f>G446-H446</x:f>
        <x:v>1627</x:v>
      </x:c>
      <x:c r="J446" t="str">
        <x:v>20230101_2695</x:v>
      </x:c>
    </x:row>
    <x:row r="447">
      <x:c r="A447" t="n">
        <x:v>1275</x:v>
      </x:c>
      <x:c r="B447" t="n">
        <x:v>11000</x:v>
      </x:c>
      <x:c r="C447" s="8" t="n">
        <x:v>44927.5</x:v>
      </x:c>
      <x:c r="D447" t="str">
        <x:v>247</x:v>
      </x:c>
      <x:c r="E447" t="str">
        <x:v>247</x:v>
      </x:c>
      <x:c r="F447" t="str">
        <x:v>Vortragsaktualisierung</x:v>
      </x:c>
      <x:c r="G447" s="6" t="n">
        <x:v>12593</x:v>
      </x:c>
      <x:c r="H447" s="6" t="n">
        <x:v>0</x:v>
      </x:c>
      <x:c r="I447" s="6" t="n">
        <x:f>G447-H447</x:f>
        <x:v>12593</x:v>
      </x:c>
      <x:c r="J447" t="str">
        <x:v>20230101_2425</x:v>
      </x:c>
    </x:row>
    <x:row r="448">
      <x:c r="A448" t="n">
        <x:v>1276</x:v>
      </x:c>
      <x:c r="B448" t="n">
        <x:v>11000</x:v>
      </x:c>
      <x:c r="C448" s="8" t="n">
        <x:v>44927.5</x:v>
      </x:c>
      <x:c r="D448" t="str">
        <x:v>262</x:v>
      </x:c>
      <x:c r="E448" t="str">
        <x:v>262</x:v>
      </x:c>
      <x:c r="F448" t="str">
        <x:v>kaiser</x:v>
      </x:c>
      <x:c r="G448" s="6" t="n">
        <x:v>0</x:v>
      </x:c>
      <x:c r="H448" s="6" t="n">
        <x:v>1850</x:v>
      </x:c>
      <x:c r="I448" s="6" t="n">
        <x:f>G448-H448</x:f>
        <x:v>-1850</x:v>
      </x:c>
      <x:c r="J448" t="str">
        <x:v>20230101_2458</x:v>
      </x:c>
    </x:row>
    <x:row r="449">
      <x:c r="A449" t="n">
        <x:v>1285</x:v>
      </x:c>
      <x:c r="B449" t="n">
        <x:v>11000</x:v>
      </x:c>
      <x:c r="C449" s="8" t="n">
        <x:v>45022.5</x:v>
      </x:c>
      <x:c r="D449" t="str">
        <x:v>2023%236</x:v>
      </x:c>
      <x:c r="E449" t="str">
        <x:v>2023%236</x:v>
      </x:c>
      <x:c r="F449" t="str">
        <x:v>Ann-Kathrin Kiefer</x:v>
      </x:c>
      <x:c r="G449" s="6" t="n">
        <x:v>3739</x:v>
      </x:c>
      <x:c r="H449" s="6" t="n">
        <x:v>0</x:v>
      </x:c>
      <x:c r="I449" s="6" t="n">
        <x:f>G449-H449</x:f>
        <x:v>3739</x:v>
      </x:c>
      <x:c r="J449" t="str">
        <x:v>20230101_2775</x:v>
      </x:c>
    </x:row>
    <x:row r="450">
      <x:c r="A450" t="n">
        <x:v>1286</x:v>
      </x:c>
      <x:c r="B450" t="n">
        <x:v>11000</x:v>
      </x:c>
      <x:c r="C450" s="8" t="n">
        <x:v>45028.5</x:v>
      </x:c>
      <x:c r="D450" t="str">
        <x:v>2023%241</x:v>
      </x:c>
      <x:c r="E450" t="str">
        <x:v>2023%241</x:v>
      </x:c>
      <x:c r="F450" t="str">
        <x:v>Lenja Kerbein</x:v>
      </x:c>
      <x:c r="G450" s="6" t="n">
        <x:v>830</x:v>
      </x:c>
      <x:c r="H450" s="6" t="n">
        <x:v>0</x:v>
      </x:c>
      <x:c r="I450" s="6" t="n">
        <x:f>G450-H450</x:f>
        <x:v>830</x:v>
      </x:c>
      <x:c r="J450" t="str">
        <x:v>20230101_2804</x:v>
      </x:c>
    </x:row>
    <x:row r="451">
      <x:c r="A451" t="n">
        <x:v>1287</x:v>
      </x:c>
      <x:c r="B451" t="n">
        <x:v>11000</x:v>
      </x:c>
      <x:c r="C451" s="8" t="n">
        <x:v>45034.5</x:v>
      </x:c>
      <x:c r="D451" t="str">
        <x:v>2023%250</x:v>
      </x:c>
      <x:c r="E451" t="str">
        <x:v>2023%250</x:v>
      </x:c>
      <x:c r="F451" t="str">
        <x:v>Paulina Klement</x:v>
      </x:c>
      <x:c r="G451" s="6" t="n">
        <x:v>440</x:v>
      </x:c>
      <x:c r="H451" s="6" t="n">
        <x:v>0</x:v>
      </x:c>
      <x:c r="I451" s="6" t="n">
        <x:f>G451-H451</x:f>
        <x:v>440</x:v>
      </x:c>
      <x:c r="J451" t="str">
        <x:v>20230101_2836</x:v>
      </x:c>
    </x:row>
    <x:row r="452">
      <x:c r="A452" t="n">
        <x:v>1288</x:v>
      </x:c>
      <x:c r="B452" t="n">
        <x:v>11000</x:v>
      </x:c>
      <x:c r="C452" s="8" t="n">
        <x:v>45041.5</x:v>
      </x:c>
      <x:c r="D452" t="str">
        <x:v>2023%257</x:v>
      </x:c>
      <x:c r="E452" t="str">
        <x:v>2023%257</x:v>
      </x:c>
      <x:c r="F452" t="str">
        <x:v>&lt;Storno&gt; Melina Komm</x:v>
      </x:c>
      <x:c r="G452" s="6" t="n">
        <x:v>0</x:v>
      </x:c>
      <x:c r="H452" s="6" t="n">
        <x:v>-680</x:v>
      </x:c>
      <x:c r="I452" s="6" t="n">
        <x:f>G452-H452</x:f>
        <x:v>680</x:v>
      </x:c>
      <x:c r="J452" t="str">
        <x:v>20230101_3569</x:v>
      </x:c>
    </x:row>
    <x:row r="453">
      <x:c r="A453" t="n">
        <x:v>1289</x:v>
      </x:c>
      <x:c r="B453" t="n">
        <x:v>11000</x:v>
      </x:c>
      <x:c r="C453" s="8" t="n">
        <x:v>45089.5</x:v>
      </x:c>
      <x:c r="D453" t="str">
        <x:v>2023%295</x:v>
      </x:c>
      <x:c r="E453" t="str">
        <x:v>2023%295</x:v>
      </x:c>
      <x:c r="F453" t="str">
        <x:v>Robin Klinger</x:v>
      </x:c>
      <x:c r="G453" s="6" t="n">
        <x:v>348.4</x:v>
      </x:c>
      <x:c r="H453" s="6" t="n">
        <x:v>0</x:v>
      </x:c>
      <x:c r="I453" s="6" t="n">
        <x:f>G453-H453</x:f>
        <x:v>348.4</x:v>
      </x:c>
      <x:c r="J453" t="str">
        <x:v>20230101_3064</x:v>
      </x:c>
    </x:row>
    <x:row r="454">
      <x:c r="A454" t="n">
        <x:v>1290</x:v>
      </x:c>
      <x:c r="B454" t="n">
        <x:v>11000</x:v>
      </x:c>
      <x:c r="C454" s="8" t="n">
        <x:v>45091.5</x:v>
      </x:c>
      <x:c r="D454" t="str">
        <x:v>2023%303</x:v>
      </x:c>
      <x:c r="E454" t="str">
        <x:v>2023%303</x:v>
      </x:c>
      <x:c r="F454" t="str">
        <x:v>Lilian Krombach</x:v>
      </x:c>
      <x:c r="G454" s="6" t="n">
        <x:v>1350</x:v>
      </x:c>
      <x:c r="H454" s="6" t="n">
        <x:v>0</x:v>
      </x:c>
      <x:c r="I454" s="6" t="n">
        <x:f>G454-H454</x:f>
        <x:v>1350</x:v>
      </x:c>
      <x:c r="J454" t="str">
        <x:v>20230101_3093</x:v>
      </x:c>
    </x:row>
    <x:row r="455">
      <x:c r="A455" t="n">
        <x:v>1291</x:v>
      </x:c>
      <x:c r="B455" t="n">
        <x:v>11000</x:v>
      </x:c>
      <x:c r="C455" s="8" t="n">
        <x:v>45105.5</x:v>
      </x:c>
      <x:c r="D455" t="str">
        <x:v>2023%317</x:v>
      </x:c>
      <x:c r="E455" t="str">
        <x:v>2023%317</x:v>
      </x:c>
      <x:c r="F455" t="str">
        <x:v>Vanessa Kurok</x:v>
      </x:c>
      <x:c r="G455" s="6" t="n">
        <x:v>410</x:v>
      </x:c>
      <x:c r="H455" s="6" t="n">
        <x:v>0</x:v>
      </x:c>
      <x:c r="I455" s="6" t="n">
        <x:f>G455-H455</x:f>
        <x:v>410</x:v>
      </x:c>
      <x:c r="J455" t="str">
        <x:v>20230101_3164</x:v>
      </x:c>
    </x:row>
    <x:row r="456">
      <x:c r="A456" t="n">
        <x:v>1292</x:v>
      </x:c>
      <x:c r="B456" t="n">
        <x:v>11000</x:v>
      </x:c>
      <x:c r="C456" s="8" t="n">
        <x:v>45128.5</x:v>
      </x:c>
      <x:c r="D456" t="str">
        <x:v>2023%334</x:v>
      </x:c>
      <x:c r="E456" t="str">
        <x:v>2023%334</x:v>
      </x:c>
      <x:c r="F456" t="str">
        <x:v>Klein</x:v>
      </x:c>
      <x:c r="G456" s="6" t="n">
        <x:v>2009</x:v>
      </x:c>
      <x:c r="H456" s="6" t="n">
        <x:v>0</x:v>
      </x:c>
      <x:c r="I456" s="6" t="n">
        <x:f>G456-H456</x:f>
        <x:v>2009</x:v>
      </x:c>
      <x:c r="J456" t="str">
        <x:v>20230101_3245</x:v>
      </x:c>
    </x:row>
    <x:row r="457">
      <x:c r="A457" t="n">
        <x:v>1293</x:v>
      </x:c>
      <x:c r="B457" t="n">
        <x:v>11000</x:v>
      </x:c>
      <x:c r="C457" s="8" t="n">
        <x:v>45131.5</x:v>
      </x:c>
      <x:c r="D457" t="str">
        <x:v>2023%336</x:v>
      </x:c>
      <x:c r="E457" t="str">
        <x:v>2023%336</x:v>
      </x:c>
      <x:c r="F457" t="str">
        <x:v>Krombach</x:v>
      </x:c>
      <x:c r="G457" s="6" t="n">
        <x:v>1900</x:v>
      </x:c>
      <x:c r="H457" s="6" t="n">
        <x:v>0</x:v>
      </x:c>
      <x:c r="I457" s="6" t="n">
        <x:f>G457-H457</x:f>
        <x:v>1900</x:v>
      </x:c>
      <x:c r="J457" t="str">
        <x:v>20230101_3258</x:v>
      </x:c>
    </x:row>
    <x:row r="458">
      <x:c r="A458" t="n">
        <x:v>1294</x:v>
      </x:c>
      <x:c r="B458" t="n">
        <x:v>11000</x:v>
      </x:c>
      <x:c r="C458" s="8" t="n">
        <x:v>45195.5</x:v>
      </x:c>
      <x:c r="D458" t="str">
        <x:v>2023%367</x:v>
      </x:c>
      <x:c r="E458" t="str">
        <x:v>2023%367</x:v>
      </x:c>
      <x:c r="F458" t="str">
        <x:v>Kauczor</x:v>
      </x:c>
      <x:c r="G458" s="6" t="n">
        <x:v>2539</x:v>
      </x:c>
      <x:c r="H458" s="6" t="n">
        <x:v>0</x:v>
      </x:c>
      <x:c r="I458" s="6" t="n">
        <x:f>G458-H458</x:f>
        <x:v>2539</x:v>
      </x:c>
      <x:c r="J458" t="str">
        <x:v>20230101_3370</x:v>
      </x:c>
    </x:row>
    <x:row r="459">
      <x:c r="A459" t="n">
        <x:v>1295</x:v>
      </x:c>
      <x:c r="B459" t="n">
        <x:v>11000</x:v>
      </x:c>
      <x:c r="C459" s="8" t="n">
        <x:v>45195.5</x:v>
      </x:c>
      <x:c r="D459" t="str">
        <x:v>2023%372</x:v>
      </x:c>
      <x:c r="E459" t="str">
        <x:v>2023%372</x:v>
      </x:c>
      <x:c r="F459" t="str">
        <x:v>Karlsen</x:v>
      </x:c>
      <x:c r="G459" s="6" t="n">
        <x:v>920</x:v>
      </x:c>
      <x:c r="H459" s="6" t="n">
        <x:v>0</x:v>
      </x:c>
      <x:c r="I459" s="6" t="n">
        <x:f>G459-H459</x:f>
        <x:v>920</x:v>
      </x:c>
      <x:c r="J459" t="str">
        <x:v>20230101_3375</x:v>
      </x:c>
    </x:row>
    <x:row r="460">
      <x:c r="A460" t="n">
        <x:v>1296</x:v>
      </x:c>
      <x:c r="B460" t="n">
        <x:v>11000</x:v>
      </x:c>
      <x:c r="C460" s="8" t="n">
        <x:v>45226.5</x:v>
      </x:c>
      <x:c r="D460" t="str">
        <x:v>2023%383</x:v>
      </x:c>
      <x:c r="E460" t="str">
        <x:v>2023%383</x:v>
      </x:c>
      <x:c r="F460" t="str">
        <x:v>Kosan</x:v>
      </x:c>
      <x:c r="G460" s="6" t="n">
        <x:v>685</x:v>
      </x:c>
      <x:c r="H460" s="6" t="n">
        <x:v>0</x:v>
      </x:c>
      <x:c r="I460" s="6" t="n">
        <x:f>G460-H460</x:f>
        <x:v>685</x:v>
      </x:c>
      <x:c r="J460" t="str">
        <x:v>20230101_3433</x:v>
      </x:c>
    </x:row>
    <x:row r="461">
      <x:c r="A461" t="n">
        <x:v>1297</x:v>
      </x:c>
      <x:c r="B461" t="n">
        <x:v>11000</x:v>
      </x:c>
      <x:c r="C461" s="8" t="n">
        <x:v>45575.5</x:v>
      </x:c>
      <x:c r="D461" t="str">
        <x:v>2023%383</x:v>
      </x:c>
      <x:c r="E461" t="str">
        <x:v>2023%383</x:v>
      </x:c>
      <x:c r="F461" t="str">
        <x:v>Umb. 10069 Lorina Kosan 2023-383</x:v>
      </x:c>
      <x:c r="G461" s="6" t="n">
        <x:v>0</x:v>
      </x:c>
      <x:c r="H461" s="6" t="n">
        <x:v>548</x:v>
      </x:c>
      <x:c r="I461" s="6" t="n">
        <x:f>G461-H461</x:f>
        <x:v>-548</x:v>
      </x:c>
      <x:c r="J461" t="str">
        <x:v>20240101_9672</x:v>
      </x:c>
    </x:row>
    <x:row r="462">
      <x:c r="A462" t="n">
        <x:v>1298</x:v>
      </x:c>
      <x:c r="B462" t="n">
        <x:v>11000</x:v>
      </x:c>
      <x:c r="C462" s="8" t="n">
        <x:v>45154.5</x:v>
      </x:c>
      <x:c r="D462" t="str">
        <x:v>Storno%RE%18252</x:v>
      </x:c>
      <x:c r="E462" t="str">
        <x:v>Storno%RE%18252</x:v>
      </x:c>
      <x:c r="F462" t="str">
        <x:v>Elizabeth Amy Koch zu RE-Nr.2023_119</x:v>
      </x:c>
      <x:c r="G462" s="6" t="n">
        <x:v>1370</x:v>
      </x:c>
      <x:c r="H462" s="6" t="n">
        <x:v>0</x:v>
      </x:c>
      <x:c r="I462" s="6" t="n">
        <x:f>G462-H462</x:f>
        <x:v>1370</x:v>
      </x:c>
      <x:c r="J462" t="str">
        <x:v>20230101_3305</x:v>
      </x:c>
    </x:row>
    <x:row r="463">
      <x:c r="A463" t="n">
        <x:v>1299</x:v>
      </x:c>
      <x:c r="B463" t="n">
        <x:v>11000</x:v>
      </x:c>
      <x:c r="C463" s="8" t="n">
        <x:v>45222.5</x:v>
      </x:c>
      <x:c r="D463" t="str">
        <x:v>Storno%RE%18253</x:v>
      </x:c>
      <x:c r="E463" t="str">
        <x:v>Storno%RE%18253</x:v>
      </x:c>
      <x:c r="F463" t="str">
        <x:v>Milad Klopfer zu 2023_350</x:v>
      </x:c>
      <x:c r="G463" s="6" t="n">
        <x:v>487</x:v>
      </x:c>
      <x:c r="H463" s="6" t="n">
        <x:v>0</x:v>
      </x:c>
      <x:c r="I463" s="6" t="n">
        <x:f>G463-H463</x:f>
        <x:v>487</x:v>
      </x:c>
      <x:c r="J463" t="str">
        <x:v>20230101_3420</x:v>
      </x:c>
    </x:row>
    <x:row r="464">
      <x:c r="A464" t="n">
        <x:v>1300</x:v>
      </x:c>
      <x:c r="B464" t="n">
        <x:v>11000</x:v>
      </x:c>
      <x:c r="C464" s="8" t="n">
        <x:v>44980.5</x:v>
      </x:c>
      <x:c r="D464" t="str">
        <x:v>VRNeu10</x:v>
      </x:c>
      <x:c r="E464" t="str">
        <x:v>VRNeu10</x:v>
      </x:c>
      <x:c r="F464" t="str">
        <x:v>Ulrike Kampka 2023-131</x:v>
      </x:c>
      <x:c r="G464" s="6" t="n">
        <x:v>0</x:v>
      </x:c>
      <x:c r="H464" s="6" t="n">
        <x:v>188</x:v>
      </x:c>
      <x:c r="I464" s="6" t="n">
        <x:f>G464-H464</x:f>
        <x:v>-188</x:v>
      </x:c>
      <x:c r="J464" t="str">
        <x:v>20230101_2609</x:v>
      </x:c>
    </x:row>
    <x:row r="465">
      <x:c r="A465" t="n">
        <x:v>1301</x:v>
      </x:c>
      <x:c r="B465" t="n">
        <x:v>11000</x:v>
      </x:c>
      <x:c r="C465" s="8" t="n">
        <x:v>44980.5</x:v>
      </x:c>
      <x:c r="D465" t="str">
        <x:v>VRNeu10</x:v>
      </x:c>
      <x:c r="E465" t="str">
        <x:v>VRNeu10</x:v>
      </x:c>
      <x:c r="F465" t="str">
        <x:v>Christopher Kerr</x:v>
      </x:c>
      <x:c r="G465" s="6" t="n">
        <x:v>0</x:v>
      </x:c>
      <x:c r="H465" s="6" t="n">
        <x:v>342</x:v>
      </x:c>
      <x:c r="I465" s="6" t="n">
        <x:f>G465-H465</x:f>
        <x:v>-342</x:v>
      </x:c>
      <x:c r="J465" t="str">
        <x:v>20230101_2611</x:v>
      </x:c>
    </x:row>
    <x:row r="466">
      <x:c r="A466" t="n">
        <x:v>1302</x:v>
      </x:c>
      <x:c r="B466" t="n">
        <x:v>11000</x:v>
      </x:c>
      <x:c r="C466" s="8" t="n">
        <x:v>44981.5</x:v>
      </x:c>
      <x:c r="D466" t="str">
        <x:v>VRNeu11/2</x:v>
      </x:c>
      <x:c r="E466" t="str">
        <x:v>VRNeu11/2</x:v>
      </x:c>
      <x:c r="F466" t="str">
        <x:v>Knoll Alina 2023-146</x:v>
      </x:c>
      <x:c r="G466" s="6" t="n">
        <x:v>0</x:v>
      </x:c>
      <x:c r="H466" s="6" t="n">
        <x:v>541</x:v>
      </x:c>
      <x:c r="I466" s="6" t="n">
        <x:f>G466-H466</x:f>
        <x:v>-541</x:v>
      </x:c>
      <x:c r="J466" t="str">
        <x:v>20230101_2618</x:v>
      </x:c>
    </x:row>
    <x:row r="467">
      <x:c r="A467" t="n">
        <x:v>1303</x:v>
      </x:c>
      <x:c r="B467" t="n">
        <x:v>11000</x:v>
      </x:c>
      <x:c r="C467" s="8" t="n">
        <x:v>44984.5</x:v>
      </x:c>
      <x:c r="D467" t="str">
        <x:v>VRNeu11/2</x:v>
      </x:c>
      <x:c r="E467" t="str">
        <x:v>VRNeu11/2</x:v>
      </x:c>
      <x:c r="F467" t="str">
        <x:v>Pauline Kamionka 2023-144</x:v>
      </x:c>
      <x:c r="G467" s="6" t="n">
        <x:v>0</x:v>
      </x:c>
      <x:c r="H467" s="6" t="n">
        <x:v>819</x:v>
      </x:c>
      <x:c r="I467" s="6" t="n">
        <x:f>G467-H467</x:f>
        <x:v>-819</x:v>
      </x:c>
      <x:c r="J467" t="str">
        <x:v>20230101_2621</x:v>
      </x:c>
    </x:row>
    <x:row r="468">
      <x:c r="A468" t="n">
        <x:v>1304</x:v>
      </x:c>
      <x:c r="B468" t="n">
        <x:v>11000</x:v>
      </x:c>
      <x:c r="C468" s="8" t="n">
        <x:v>44995.5</x:v>
      </x:c>
      <x:c r="D468" t="str">
        <x:v>VRNeu16/3</x:v>
      </x:c>
      <x:c r="E468" t="str">
        <x:v>VRNeu16/3</x:v>
      </x:c>
      <x:c r="F468" t="str">
        <x:v>Oliver Kraus 2023-159</x:v>
      </x:c>
      <x:c r="G468" s="6" t="n">
        <x:v>0</x:v>
      </x:c>
      <x:c r="H468" s="6" t="n">
        <x:v>335</x:v>
      </x:c>
      <x:c r="I468" s="6" t="n">
        <x:f>G468-H468</x:f>
        <x:v>-335</x:v>
      </x:c>
      <x:c r="J468" t="str">
        <x:v>20230101_2664</x:v>
      </x:c>
    </x:row>
    <x:row r="469">
      <x:c r="A469" t="n">
        <x:v>1305</x:v>
      </x:c>
      <x:c r="B469" t="n">
        <x:v>11000</x:v>
      </x:c>
      <x:c r="C469" s="8" t="n">
        <x:v>44999.5</x:v>
      </x:c>
      <x:c r="D469" t="str">
        <x:v>VRNeu18/1</x:v>
      </x:c>
      <x:c r="E469" t="str">
        <x:v>VRNeu18/1</x:v>
      </x:c>
      <x:c r="F469" t="str">
        <x:v>Ulrike Kampka 2023-131</x:v>
      </x:c>
      <x:c r="G469" s="6" t="n">
        <x:v>0</x:v>
      </x:c>
      <x:c r="H469" s="6" t="n">
        <x:v>752</x:v>
      </x:c>
      <x:c r="I469" s="6" t="n">
        <x:f>G469-H469</x:f>
        <x:v>-752</x:v>
      </x:c>
      <x:c r="J469" t="str">
        <x:v>20230101_2673</x:v>
      </x:c>
    </x:row>
    <x:row r="470">
      <x:c r="A470" t="n">
        <x:v>1306</x:v>
      </x:c>
      <x:c r="B470" t="n">
        <x:v>11000</x:v>
      </x:c>
      <x:c r="C470" s="8" t="n">
        <x:v>45006.5</x:v>
      </x:c>
      <x:c r="D470" t="str">
        <x:v>VRNeu19/1</x:v>
      </x:c>
      <x:c r="E470" t="str">
        <x:v>VRNeu19/1</x:v>
      </x:c>
      <x:c r="F470" t="str">
        <x:v>Kessler Arne 2023-203</x:v>
      </x:c>
      <x:c r="G470" s="6" t="n">
        <x:v>0</x:v>
      </x:c>
      <x:c r="H470" s="6" t="n">
        <x:v>325.4</x:v>
      </x:c>
      <x:c r="I470" s="6" t="n">
        <x:f>G470-H470</x:f>
        <x:v>-325.4</x:v>
      </x:c>
      <x:c r="J470" t="str">
        <x:v>20230101_2709</x:v>
      </x:c>
    </x:row>
    <x:row r="471">
      <x:c r="A471" t="n">
        <x:v>1307</x:v>
      </x:c>
      <x:c r="B471" t="n">
        <x:v>11000</x:v>
      </x:c>
      <x:c r="C471" s="8" t="n">
        <x:v>44936.5</x:v>
      </x:c>
      <x:c r="D471" t="str">
        <x:v>VRNeu2/3</x:v>
      </x:c>
      <x:c r="E471" t="str">
        <x:v>VRNeu2/3</x:v>
      </x:c>
      <x:c r="F471" t="str">
        <x:v>Josef Kenter 2022-272</x:v>
      </x:c>
      <x:c r="G471" s="6" t="n">
        <x:v>0</x:v>
      </x:c>
      <x:c r="H471" s="6" t="n">
        <x:v>190</x:v>
      </x:c>
      <x:c r="I471" s="6" t="n">
        <x:f>G471-H471</x:f>
        <x:v>-190</x:v>
      </x:c>
      <x:c r="J471" t="str">
        <x:v>20230101_2508</x:v>
      </x:c>
    </x:row>
    <x:row r="472">
      <x:c r="A472" t="n">
        <x:v>1308</x:v>
      </x:c>
      <x:c r="B472" t="n">
        <x:v>11000</x:v>
      </x:c>
      <x:c r="C472" s="8" t="n">
        <x:v>45012.5</x:v>
      </x:c>
      <x:c r="D472" t="str">
        <x:v>VRNeu21/3</x:v>
      </x:c>
      <x:c r="E472" t="str">
        <x:v>VRNeu21/3</x:v>
      </x:c>
      <x:c r="F472" t="str">
        <x:v>Kamionka Pauline 2023-144</x:v>
      </x:c>
      <x:c r="G472" s="6" t="n">
        <x:v>0</x:v>
      </x:c>
      <x:c r="H472" s="6" t="n">
        <x:v>3276</x:v>
      </x:c>
      <x:c r="I472" s="6" t="n">
        <x:f>G472-H472</x:f>
        <x:v>-3276</x:v>
      </x:c>
      <x:c r="J472" t="str">
        <x:v>20230101_2727</x:v>
      </x:c>
    </x:row>
    <x:row r="473">
      <x:c r="A473" t="n">
        <x:v>1309</x:v>
      </x:c>
      <x:c r="B473" t="n">
        <x:v>11000</x:v>
      </x:c>
      <x:c r="C473" s="8" t="n">
        <x:v>45035.5</x:v>
      </x:c>
      <x:c r="D473" t="str">
        <x:v>VRNeu30/2</x:v>
      </x:c>
      <x:c r="E473" t="str">
        <x:v>VRNeu30/2</x:v>
      </x:c>
      <x:c r="F473" t="str">
        <x:v>Kerbein 2023-241</x:v>
      </x:c>
      <x:c r="G473" s="6" t="n">
        <x:v>0</x:v>
      </x:c>
      <x:c r="H473" s="6" t="n">
        <x:v>332</x:v>
      </x:c>
      <x:c r="I473" s="6" t="n">
        <x:f>G473-H473</x:f>
        <x:v>-332</x:v>
      </x:c>
      <x:c r="J473" t="str">
        <x:v>20230101_2849</x:v>
      </x:c>
    </x:row>
    <x:row r="474">
      <x:c r="A474" t="n">
        <x:v>1310</x:v>
      </x:c>
      <x:c r="B474" t="n">
        <x:v>11000</x:v>
      </x:c>
      <x:c r="C474" s="8" t="n">
        <x:v>45035.5</x:v>
      </x:c>
      <x:c r="D474" t="str">
        <x:v>VRNeu30/2</x:v>
      </x:c>
      <x:c r="E474" t="str">
        <x:v>VRNeu30/2</x:v>
      </x:c>
      <x:c r="F474" t="str">
        <x:v>Kiefer 2023-236</x:v>
      </x:c>
      <x:c r="G474" s="6" t="n">
        <x:v>0</x:v>
      </x:c>
      <x:c r="H474" s="6" t="n">
        <x:v>747.8</x:v>
      </x:c>
      <x:c r="I474" s="6" t="n">
        <x:f>G474-H474</x:f>
        <x:v>-747.8</x:v>
      </x:c>
      <x:c r="J474" t="str">
        <x:v>20230101_2851</x:v>
      </x:c>
    </x:row>
    <x:row r="475">
      <x:c r="A475" t="n">
        <x:v>1311</x:v>
      </x:c>
      <x:c r="B475" t="n">
        <x:v>11000</x:v>
      </x:c>
      <x:c r="C475" s="8" t="n">
        <x:v>45041.5</x:v>
      </x:c>
      <x:c r="D475" t="str">
        <x:v>VRNeu33/2</x:v>
      </x:c>
      <x:c r="E475" t="str">
        <x:v>VRNeu33/2</x:v>
      </x:c>
      <x:c r="F475" t="str">
        <x:v>Klement 2023-250</x:v>
      </x:c>
      <x:c r="G475" s="6" t="n">
        <x:v>0</x:v>
      </x:c>
      <x:c r="H475" s="6" t="n">
        <x:v>176</x:v>
      </x:c>
      <x:c r="I475" s="6" t="n">
        <x:f>G475-H475</x:f>
        <x:v>-176</x:v>
      </x:c>
      <x:c r="J475" t="str">
        <x:v>20230101_2884</x:v>
      </x:c>
    </x:row>
    <x:row r="476">
      <x:c r="A476" t="n">
        <x:v>1312</x:v>
      </x:c>
      <x:c r="B476" t="n">
        <x:v>11000</x:v>
      </x:c>
      <x:c r="C476" s="8" t="n">
        <x:v>45042.5</x:v>
      </x:c>
      <x:c r="D476" t="str">
        <x:v>VRNeu33/3</x:v>
      </x:c>
      <x:c r="E476" t="str">
        <x:v>VRNeu33/3</x:v>
      </x:c>
      <x:c r="F476" t="str">
        <x:v>Komm 2023-256</x:v>
      </x:c>
      <x:c r="G476" s="6" t="n">
        <x:v>0</x:v>
      </x:c>
      <x:c r="H476" s="6" t="n">
        <x:v>136</x:v>
      </x:c>
      <x:c r="I476" s="6" t="n">
        <x:f>G476-H476</x:f>
        <x:v>-136</x:v>
      </x:c>
      <x:c r="J476" t="str">
        <x:v>20230101_2898</x:v>
      </x:c>
    </x:row>
    <x:row r="477">
      <x:c r="A477" t="n">
        <x:v>1313</x:v>
      </x:c>
      <x:c r="B477" t="n">
        <x:v>11000</x:v>
      </x:c>
      <x:c r="C477" s="8" t="n">
        <x:v>45051.5</x:v>
      </x:c>
      <x:c r="D477" t="str">
        <x:v>VRNeu37/1</x:v>
      </x:c>
      <x:c r="E477" t="str">
        <x:v>VRNeu37/1</x:v>
      </x:c>
      <x:c r="F477" t="str">
        <x:v>Klement 2023-250</x:v>
      </x:c>
      <x:c r="G477" s="6" t="n">
        <x:v>0</x:v>
      </x:c>
      <x:c r="H477" s="6" t="n">
        <x:v>176</x:v>
      </x:c>
      <x:c r="I477" s="6" t="n">
        <x:f>G477-H477</x:f>
        <x:v>-176</x:v>
      </x:c>
      <x:c r="J477" t="str">
        <x:v>20230101_2942</x:v>
      </x:c>
    </x:row>
    <x:row r="478">
      <x:c r="A478" t="n">
        <x:v>1314</x:v>
      </x:c>
      <x:c r="B478" t="n">
        <x:v>11000</x:v>
      </x:c>
      <x:c r="C478" s="8" t="n">
        <x:v>44942.5</x:v>
      </x:c>
      <x:c r="D478" t="str">
        <x:v>VRNeu4/1</x:v>
      </x:c>
      <x:c r="E478" t="str">
        <x:v>VRNeu4/1</x:v>
      </x:c>
      <x:c r="F478" t="str">
        <x:v>Kretschmer Johanna 2022-275</x:v>
      </x:c>
      <x:c r="G478" s="6" t="n">
        <x:v>0</x:v>
      </x:c>
      <x:c r="H478" s="6" t="n">
        <x:v>963</x:v>
      </x:c>
      <x:c r="I478" s="6" t="n">
        <x:f>G478-H478</x:f>
        <x:v>-963</x:v>
      </x:c>
      <x:c r="J478" t="str">
        <x:v>20230101_2518</x:v>
      </x:c>
    </x:row>
    <x:row r="479">
      <x:c r="A479" t="n">
        <x:v>1315</x:v>
      </x:c>
      <x:c r="B479" t="n">
        <x:v>11000</x:v>
      </x:c>
      <x:c r="C479" s="8" t="n">
        <x:v>44944.5</x:v>
      </x:c>
      <x:c r="D479" t="str">
        <x:v>VRNeu4/2</x:v>
      </x:c>
      <x:c r="E479" t="str">
        <x:v>VRNeu4/2</x:v>
      </x:c>
      <x:c r="F479" t="str">
        <x:v>Dr. Jochen Kolb 2022-191</x:v>
      </x:c>
      <x:c r="G479" s="6" t="n">
        <x:v>0</x:v>
      </x:c>
      <x:c r="H479" s="6" t="n">
        <x:v>956</x:v>
      </x:c>
      <x:c r="I479" s="6" t="n">
        <x:f>G479-H479</x:f>
        <x:v>-956</x:v>
      </x:c>
      <x:c r="J479" t="str">
        <x:v>20230101_2523</x:v>
      </x:c>
    </x:row>
    <x:row r="480">
      <x:c r="A480" t="n">
        <x:v>1316</x:v>
      </x:c>
      <x:c r="B480" t="n">
        <x:v>11000</x:v>
      </x:c>
      <x:c r="C480" s="8" t="n">
        <x:v>45069.5</x:v>
      </x:c>
      <x:c r="D480" t="str">
        <x:v>VRNeu42/1</x:v>
      </x:c>
      <x:c r="E480" t="str">
        <x:v>VRNeu42/1</x:v>
      </x:c>
      <x:c r="F480" t="str">
        <x:v>Kenter Vaupel 2022_272</x:v>
      </x:c>
      <x:c r="G480" s="6" t="n">
        <x:v>0</x:v>
      </x:c>
      <x:c r="H480" s="6" t="n">
        <x:v>760</x:v>
      </x:c>
      <x:c r="I480" s="6" t="n">
        <x:f>G480-H480</x:f>
        <x:v>-760</x:v>
      </x:c>
      <x:c r="J480" t="str">
        <x:v>20230101_2998</x:v>
      </x:c>
    </x:row>
    <x:row r="481">
      <x:c r="A481" t="n">
        <x:v>1317</x:v>
      </x:c>
      <x:c r="B481" t="n">
        <x:v>11000</x:v>
      </x:c>
      <x:c r="C481" s="8" t="n">
        <x:v>45071.5</x:v>
      </x:c>
      <x:c r="D481" t="str">
        <x:v>VRNeu43</x:v>
      </x:c>
      <x:c r="E481" t="str">
        <x:v>VRNeu43</x:v>
      </x:c>
      <x:c r="F481" t="str">
        <x:v>Ko,, 2023_256</x:v>
      </x:c>
      <x:c r="G481" s="6" t="n">
        <x:v>0</x:v>
      </x:c>
      <x:c r="H481" s="6" t="n">
        <x:v>544</x:v>
      </x:c>
      <x:c r="I481" s="6" t="n">
        <x:f>G481-H481</x:f>
        <x:v>-544</x:v>
      </x:c>
      <x:c r="J481" t="str">
        <x:v>20230101_3018</x:v>
      </x:c>
    </x:row>
    <x:row r="482">
      <x:c r="A482" t="n">
        <x:v>1318</x:v>
      </x:c>
      <x:c r="B482" t="n">
        <x:v>11000</x:v>
      </x:c>
      <x:c r="C482" s="8" t="n">
        <x:v>45103.5</x:v>
      </x:c>
      <x:c r="D482" t="str">
        <x:v>VRNeu51/3</x:v>
      </x:c>
      <x:c r="E482" t="str">
        <x:v>VRNeu51/3</x:v>
      </x:c>
      <x:c r="F482" t="str">
        <x:v>Krombach Melanie 2023_303</x:v>
      </x:c>
      <x:c r="G482" s="6" t="n">
        <x:v>0</x:v>
      </x:c>
      <x:c r="H482" s="6" t="n">
        <x:v>270</x:v>
      </x:c>
      <x:c r="I482" s="6" t="n">
        <x:f>G482-H482</x:f>
        <x:v>-270</x:v>
      </x:c>
      <x:c r="J482" t="str">
        <x:v>20230101_3156</x:v>
      </x:c>
    </x:row>
    <x:row r="483">
      <x:c r="A483" t="n">
        <x:v>1319</x:v>
      </x:c>
      <x:c r="B483" t="n">
        <x:v>11000</x:v>
      </x:c>
      <x:c r="C483" s="8" t="n">
        <x:v>45103.5</x:v>
      </x:c>
      <x:c r="D483" t="str">
        <x:v>VRNeu51/3</x:v>
      </x:c>
      <x:c r="E483" t="str">
        <x:v>VRNeu51/3</x:v>
      </x:c>
      <x:c r="F483" t="str">
        <x:v>Furlan Bettina 2023_146 Knoll Alina</x:v>
      </x:c>
      <x:c r="G483" s="6" t="n">
        <x:v>0</x:v>
      </x:c>
      <x:c r="H483" s="6" t="n">
        <x:v>2164</x:v>
      </x:c>
      <x:c r="I483" s="6" t="n">
        <x:f>G483-H483</x:f>
        <x:v>-2164</x:v>
      </x:c>
      <x:c r="J483" t="str">
        <x:v>20230101_3158</x:v>
      </x:c>
    </x:row>
    <x:row r="484">
      <x:c r="A484" t="n">
        <x:v>1320</x:v>
      </x:c>
      <x:c r="B484" t="n">
        <x:v>11000</x:v>
      </x:c>
      <x:c r="C484" s="8" t="n">
        <x:v>45120.5</x:v>
      </x:c>
      <x:c r="D484" t="str">
        <x:v>VRNeu54/2</x:v>
      </x:c>
      <x:c r="E484" t="str">
        <x:v>VRNeu54/2</x:v>
      </x:c>
      <x:c r="F484" t="str">
        <x:v>Kaiser 2022 262</x:v>
      </x:c>
      <x:c r="G484" s="6" t="n">
        <x:v>0</x:v>
      </x:c>
      <x:c r="H484" s="6" t="n">
        <x:v>2070</x:v>
      </x:c>
      <x:c r="I484" s="6" t="n">
        <x:f>G484-H484</x:f>
        <x:v>-2070</x:v>
      </x:c>
      <x:c r="J484" t="str">
        <x:v>20230101_3209</x:v>
      </x:c>
    </x:row>
    <x:row r="485">
      <x:c r="A485" t="n">
        <x:v>1321</x:v>
      </x:c>
      <x:c r="B485" t="n">
        <x:v>11000</x:v>
      </x:c>
      <x:c r="C485" s="8" t="n">
        <x:v>45125.5</x:v>
      </x:c>
      <x:c r="D485" t="str">
        <x:v>VRNeu55/1</x:v>
      </x:c>
      <x:c r="E485" t="str">
        <x:v>VRNeu55/1</x:v>
      </x:c>
      <x:c r="F485" t="str">
        <x:v>Kaiser abzüglich Stipendium</x:v>
      </x:c>
      <x:c r="G485" s="6" t="n">
        <x:v>0</x:v>
      </x:c>
      <x:c r="H485" s="6" t="n">
        <x:v>4360</x:v>
      </x:c>
      <x:c r="I485" s="6" t="n">
        <x:f>G485-H485</x:f>
        <x:v>-4360</x:v>
      </x:c>
      <x:c r="J485" t="str">
        <x:v>20230101_3223</x:v>
      </x:c>
    </x:row>
    <x:row r="486">
      <x:c r="A486" t="n">
        <x:v>1322</x:v>
      </x:c>
      <x:c r="B486" t="n">
        <x:v>11000</x:v>
      </x:c>
      <x:c r="C486" s="8" t="n">
        <x:v>45132.5</x:v>
      </x:c>
      <x:c r="D486" t="str">
        <x:v>VRNeu58/1</x:v>
      </x:c>
      <x:c r="E486" t="str">
        <x:v>VRNeu58/1</x:v>
      </x:c>
      <x:c r="F486" t="str">
        <x:v>Melanie Krombach</x:v>
      </x:c>
      <x:c r="G486" s="6" t="n">
        <x:v>0</x:v>
      </x:c>
      <x:c r="H486" s="6" t="n">
        <x:v>380</x:v>
      </x:c>
      <x:c r="I486" s="6" t="n">
        <x:f>G486-H486</x:f>
        <x:v>-380</x:v>
      </x:c>
      <x:c r="J486" t="str">
        <x:v>20230101_3264</x:v>
      </x:c>
    </x:row>
    <x:row r="487">
      <x:c r="A487" t="n">
        <x:v>1323</x:v>
      </x:c>
      <x:c r="B487" t="n">
        <x:v>11000</x:v>
      </x:c>
      <x:c r="C487" s="8" t="n">
        <x:v>45138.5</x:v>
      </x:c>
      <x:c r="D487" t="str">
        <x:v>VRNeu59/2</x:v>
      </x:c>
      <x:c r="E487" t="str">
        <x:v>VRNeu59/2</x:v>
      </x:c>
      <x:c r="F487" t="str">
        <x:v>Krauss  2022-159</x:v>
      </x:c>
      <x:c r="G487" s="6" t="n">
        <x:v>0</x:v>
      </x:c>
      <x:c r="H487" s="6" t="n">
        <x:v>1340</x:v>
      </x:c>
      <x:c r="I487" s="6" t="n">
        <x:f>G487-H487</x:f>
        <x:v>-1340</x:v>
      </x:c>
      <x:c r="J487" t="str">
        <x:v>20230101_3273</x:v>
      </x:c>
    </x:row>
    <x:row r="488">
      <x:c r="A488" t="n">
        <x:v>1324</x:v>
      </x:c>
      <x:c r="B488" t="n">
        <x:v>11000</x:v>
      </x:c>
      <x:c r="C488" s="8" t="n">
        <x:v>45138.5</x:v>
      </x:c>
      <x:c r="D488" t="str">
        <x:v>VRNeu59/2</x:v>
      </x:c>
      <x:c r="E488" t="str">
        <x:v>VRNeu59/2</x:v>
      </x:c>
      <x:c r="F488" t="str">
        <x:v>Klinger 2023-295</x:v>
      </x:c>
      <x:c r="G488" s="6" t="n">
        <x:v>0</x:v>
      </x:c>
      <x:c r="H488" s="6" t="n">
        <x:v>87.1</x:v>
      </x:c>
      <x:c r="I488" s="6" t="n">
        <x:f>G488-H488</x:f>
        <x:v>-87.1</x:v>
      </x:c>
      <x:c r="J488" t="str">
        <x:v>20230101_3274</x:v>
      </x:c>
    </x:row>
    <x:row r="489">
      <x:c r="A489" t="n">
        <x:v>1325</x:v>
      </x:c>
      <x:c r="B489" t="n">
        <x:v>11000</x:v>
      </x:c>
      <x:c r="C489" s="8" t="n">
        <x:v>45152.5</x:v>
      </x:c>
      <x:c r="D489" t="str">
        <x:v>VRNeu63/2</x:v>
      </x:c>
      <x:c r="E489" t="str">
        <x:v>VRNeu63/2</x:v>
      </x:c>
      <x:c r="F489" t="str">
        <x:v>Kessler 2023-203</x:v>
      </x:c>
      <x:c r="G489" s="6" t="n">
        <x:v>0</x:v>
      </x:c>
      <x:c r="H489" s="6" t="n">
        <x:v>1301.6</x:v>
      </x:c>
      <x:c r="I489" s="6" t="n">
        <x:f>G489-H489</x:f>
        <x:v>-1301.6</x:v>
      </x:c>
      <x:c r="J489" t="str">
        <x:v>20230101_3303</x:v>
      </x:c>
    </x:row>
    <x:row r="490">
      <x:c r="A490" t="n">
        <x:v>1326</x:v>
      </x:c>
      <x:c r="B490" t="n">
        <x:v>11000</x:v>
      </x:c>
      <x:c r="C490" s="8" t="n">
        <x:v>45159.5</x:v>
      </x:c>
      <x:c r="D490" t="str">
        <x:v>VRNeu64/1</x:v>
      </x:c>
      <x:c r="E490" t="str">
        <x:v>VRNeu64/1</x:v>
      </x:c>
      <x:c r="F490" t="str">
        <x:v>Klein 2023-334</x:v>
      </x:c>
      <x:c r="G490" s="6" t="n">
        <x:v>0</x:v>
      </x:c>
      <x:c r="H490" s="6" t="n">
        <x:v>401.8</x:v>
      </x:c>
      <x:c r="I490" s="6" t="n">
        <x:f>G490-H490</x:f>
        <x:v>-401.8</x:v>
      </x:c>
      <x:c r="J490" t="str">
        <x:v>20230101_3310</x:v>
      </x:c>
    </x:row>
    <x:row r="491">
      <x:c r="A491" t="n">
        <x:v>1327</x:v>
      </x:c>
      <x:c r="B491" t="n">
        <x:v>11000</x:v>
      </x:c>
      <x:c r="C491" s="8" t="n">
        <x:v>45170.5</x:v>
      </x:c>
      <x:c r="D491" t="str">
        <x:v>VRNeu67/2</x:v>
      </x:c>
      <x:c r="E491" t="str">
        <x:v>VRNeu67/2</x:v>
      </x:c>
      <x:c r="F491" t="str">
        <x:v>Krombach 2023-303</x:v>
      </x:c>
      <x:c r="G491" s="6" t="n">
        <x:v>0</x:v>
      </x:c>
      <x:c r="H491" s="6" t="n">
        <x:v>1080</x:v>
      </x:c>
      <x:c r="I491" s="6" t="n">
        <x:f>G491-H491</x:f>
        <x:v>-1080</x:v>
      </x:c>
      <x:c r="J491" t="str">
        <x:v>20230101_3324</x:v>
      </x:c>
    </x:row>
    <x:row r="492">
      <x:c r="A492" t="n">
        <x:v>1328</x:v>
      </x:c>
      <x:c r="B492" t="n">
        <x:v>11000</x:v>
      </x:c>
      <x:c r="C492" s="8" t="n">
        <x:v>45173.5</x:v>
      </x:c>
      <x:c r="D492" t="str">
        <x:v>VRNeu68/1</x:v>
      </x:c>
      <x:c r="E492" t="str">
        <x:v>VRNeu68/1</x:v>
      </x:c>
      <x:c r="F492" t="str">
        <x:v>Kurko 2023-317</x:v>
      </x:c>
      <x:c r="G492" s="6" t="n">
        <x:v>0</x:v>
      </x:c>
      <x:c r="H492" s="6" t="n">
        <x:v>410</x:v>
      </x:c>
      <x:c r="I492" s="6" t="n">
        <x:f>G492-H492</x:f>
        <x:v>-410</x:v>
      </x:c>
      <x:c r="J492" t="str">
        <x:v>20230101_3331</x:v>
      </x:c>
    </x:row>
    <x:row r="493">
      <x:c r="A493" t="n">
        <x:v>1329</x:v>
      </x:c>
      <x:c r="B493" t="n">
        <x:v>11000</x:v>
      </x:c>
      <x:c r="C493" s="8" t="n">
        <x:v>45183.5</x:v>
      </x:c>
      <x:c r="D493" t="str">
        <x:v>VRNeu71/2</x:v>
      </x:c>
      <x:c r="E493" t="str">
        <x:v>VRNeu71/2</x:v>
      </x:c>
      <x:c r="F493" t="str">
        <x:v>Kiefer 2023-236</x:v>
      </x:c>
      <x:c r="G493" s="6" t="n">
        <x:v>0</x:v>
      </x:c>
      <x:c r="H493" s="6" t="n">
        <x:v>2991.2</x:v>
      </x:c>
      <x:c r="I493" s="6" t="n">
        <x:f>G493-H493</x:f>
        <x:v>-2991.2</x:v>
      </x:c>
      <x:c r="J493" t="str">
        <x:v>20230101_3357</x:v>
      </x:c>
    </x:row>
    <x:row r="494">
      <x:c r="A494" t="n">
        <x:v>1330</x:v>
      </x:c>
      <x:c r="B494" t="n">
        <x:v>11000</x:v>
      </x:c>
      <x:c r="C494" s="8" t="n">
        <x:v>45209.5</x:v>
      </x:c>
      <x:c r="D494" t="str">
        <x:v>VRNeu78/2</x:v>
      </x:c>
      <x:c r="E494" t="str">
        <x:v>VRNeu78/2</x:v>
      </x:c>
      <x:c r="F494" t="str">
        <x:v>Krombach 2023-336</x:v>
      </x:c>
      <x:c r="G494" s="6" t="n">
        <x:v>0</x:v>
      </x:c>
      <x:c r="H494" s="6" t="n">
        <x:v>1520</x:v>
      </x:c>
      <x:c r="I494" s="6" t="n">
        <x:f>G494-H494</x:f>
        <x:v>-1520</x:v>
      </x:c>
      <x:c r="J494" t="str">
        <x:v>20230101_3388</x:v>
      </x:c>
    </x:row>
    <x:row r="495">
      <x:c r="A495" t="n">
        <x:v>1331</x:v>
      </x:c>
      <x:c r="B495" t="n">
        <x:v>11000</x:v>
      </x:c>
      <x:c r="C495" s="8" t="n">
        <x:v>45209.5</x:v>
      </x:c>
      <x:c r="D495" t="str">
        <x:v>VRNeu78/3</x:v>
      </x:c>
      <x:c r="E495" t="str">
        <x:v>VRNeu78/3</x:v>
      </x:c>
      <x:c r="F495" t="str">
        <x:v>Karlsen 2023-372</x:v>
      </x:c>
      <x:c r="G495" s="6" t="n">
        <x:v>0</x:v>
      </x:c>
      <x:c r="H495" s="6" t="n">
        <x:v>920</x:v>
      </x:c>
      <x:c r="I495" s="6" t="n">
        <x:f>G495-H495</x:f>
        <x:v>-920</x:v>
      </x:c>
      <x:c r="J495" t="str">
        <x:v>20230101_3390</x:v>
      </x:c>
    </x:row>
    <x:row r="496">
      <x:c r="A496" t="n">
        <x:v>1332</x:v>
      </x:c>
      <x:c r="B496" t="n">
        <x:v>11000</x:v>
      </x:c>
      <x:c r="C496" s="8" t="n">
        <x:v>44964.5</x:v>
      </x:c>
      <x:c r="D496" t="str">
        <x:v>VRNeu8/2</x:v>
      </x:c>
      <x:c r="E496" t="str">
        <x:v>VRNeu8/2</x:v>
      </x:c>
      <x:c r="F496" t="str">
        <x:v>Müller Karsten 2023-120</x:v>
      </x:c>
      <x:c r="G496" s="6" t="n">
        <x:v>0</x:v>
      </x:c>
      <x:c r="H496" s="6" t="n">
        <x:v>795</x:v>
      </x:c>
      <x:c r="I496" s="6" t="n">
        <x:f>G496-H496</x:f>
        <x:v>-795</x:v>
      </x:c>
      <x:c r="J496" t="str">
        <x:v>20230101_2553</x:v>
      </x:c>
    </x:row>
    <x:row r="497">
      <x:c r="A497" t="n">
        <x:v>1333</x:v>
      </x:c>
      <x:c r="B497" t="n">
        <x:v>11000</x:v>
      </x:c>
      <x:c r="C497" s="8" t="n">
        <x:v>44965.5</x:v>
      </x:c>
      <x:c r="D497" t="str">
        <x:v>VRNeu8/2</x:v>
      </x:c>
      <x:c r="E497" t="str">
        <x:v>VRNeu8/2</x:v>
      </x:c>
      <x:c r="F497" t="str">
        <x:v>Bettina Koch 2023-119</x:v>
      </x:c>
      <x:c r="G497" s="6" t="n">
        <x:v>0</x:v>
      </x:c>
      <x:c r="H497" s="6" t="n">
        <x:v>600</x:v>
      </x:c>
      <x:c r="I497" s="6" t="n">
        <x:f>G497-H497</x:f>
        <x:v>-600</x:v>
      </x:c>
      <x:c r="J497" t="str">
        <x:v>20230101_2558</x:v>
      </x:c>
    </x:row>
    <x:row r="498">
      <x:c r="A498" t="n">
        <x:v>1334</x:v>
      </x:c>
      <x:c r="B498" t="n">
        <x:v>11000</x:v>
      </x:c>
      <x:c r="C498" s="8" t="n">
        <x:v>45229.5</x:v>
      </x:c>
      <x:c r="D498" t="str">
        <x:v>VRNeu84/4</x:v>
      </x:c>
      <x:c r="E498" t="str">
        <x:v>VRNeu84/4</x:v>
      </x:c>
      <x:c r="F498" t="str">
        <x:v>Koch 2023-119</x:v>
      </x:c>
      <x:c r="G498" s="6" t="n">
        <x:v>0</x:v>
      </x:c>
      <x:c r="H498" s="6" t="n">
        <x:v>1370</x:v>
      </x:c>
      <x:c r="I498" s="6" t="n">
        <x:f>G498-H498</x:f>
        <x:v>-1370</x:v>
      </x:c>
      <x:c r="J498" t="str">
        <x:v>20230101_3434</x:v>
      </x:c>
    </x:row>
    <x:row r="499">
      <x:c r="A499" t="n">
        <x:v>1335</x:v>
      </x:c>
      <x:c r="B499" t="n">
        <x:v>11000</x:v>
      </x:c>
      <x:c r="C499" s="8" t="n">
        <x:v>45230.5</x:v>
      </x:c>
      <x:c r="D499" t="str">
        <x:v>VRNeu85/1</x:v>
      </x:c>
      <x:c r="E499" t="str">
        <x:v>VRNeu85/1</x:v>
      </x:c>
      <x:c r="F499" t="str">
        <x:v>Klein 2023_334</x:v>
      </x:c>
      <x:c r="G499" s="6" t="n">
        <x:v>0</x:v>
      </x:c>
      <x:c r="H499" s="6" t="n">
        <x:v>1607.2</x:v>
      </x:c>
      <x:c r="I499" s="6" t="n">
        <x:f>G499-H499</x:f>
        <x:v>-1607.2</x:v>
      </x:c>
      <x:c r="J499" t="str">
        <x:v>20230101_3437</x:v>
      </x:c>
    </x:row>
    <x:row r="500">
      <x:c r="A500" t="n">
        <x:v>1336</x:v>
      </x:c>
      <x:c r="B500" t="n">
        <x:v>11000</x:v>
      </x:c>
      <x:c r="C500" s="8" t="n">
        <x:v>45238.5</x:v>
      </x:c>
      <x:c r="D500" t="str">
        <x:v>VRNeu87/2</x:v>
      </x:c>
      <x:c r="E500" t="str">
        <x:v>VRNeu87/2</x:v>
      </x:c>
      <x:c r="F500" t="str">
        <x:v>Kosan 2023_383</x:v>
      </x:c>
      <x:c r="G500" s="6" t="n">
        <x:v>0</x:v>
      </x:c>
      <x:c r="H500" s="6" t="n">
        <x:v>137</x:v>
      </x:c>
      <x:c r="I500" s="6" t="n">
        <x:f>G500-H500</x:f>
        <x:v>-137</x:v>
      </x:c>
      <x:c r="J500" t="str">
        <x:v>20230101_3443</x:v>
      </x:c>
    </x:row>
    <x:row r="501">
      <x:c r="A501" t="n">
        <x:v>1337</x:v>
      </x:c>
      <x:c r="B501" t="n">
        <x:v>11000</x:v>
      </x:c>
      <x:c r="C501" s="8" t="n">
        <x:v>45243.5</x:v>
      </x:c>
      <x:c r="D501" t="str">
        <x:v>VRNeu88/1</x:v>
      </x:c>
      <x:c r="E501" t="str">
        <x:v>VRNeu88/1</x:v>
      </x:c>
      <x:c r="F501" t="str">
        <x:v>Kauczor 2023-367</x:v>
      </x:c>
      <x:c r="G501" s="6" t="n">
        <x:v>0</x:v>
      </x:c>
      <x:c r="H501" s="6" t="n">
        <x:v>2539</x:v>
      </x:c>
      <x:c r="I501" s="6" t="n">
        <x:f>G501-H501</x:f>
        <x:v>-2539</x:v>
      </x:c>
      <x:c r="J501" t="str">
        <x:v>20230101_3448</x:v>
      </x:c>
    </x:row>
    <x:row r="502">
      <x:c r="A502" t="n">
        <x:v>1338</x:v>
      </x:c>
      <x:c r="B502" t="n">
        <x:v>11100</x:v>
      </x:c>
      <x:c r="C502" s="8" t="n">
        <x:v>44927.5</x:v>
      </x:c>
      <x:c r="D502" t="str">
        <x:v>6</x:v>
      </x:c>
      <x:c r="E502" t="str">
        <x:v>6</x:v>
      </x:c>
      <x:c r="F502" t="str">
        <x:v>lebel</x:v>
      </x:c>
      <x:c r="G502" s="6" t="n">
        <x:v>0</x:v>
      </x:c>
      <x:c r="H502" s="6" t="n">
        <x:v>64.86</x:v>
      </x:c>
      <x:c r="I502" s="6" t="n">
        <x:f>G502-H502</x:f>
        <x:v>-64.86</x:v>
      </x:c>
      <x:c r="J502" t="str">
        <x:v>20230101_2459</x:v>
      </x:c>
    </x:row>
    <x:row r="503">
      <x:c r="A503" t="n">
        <x:v>1339</x:v>
      </x:c>
      <x:c r="B503" t="n">
        <x:v>11100</x:v>
      </x:c>
      <x:c r="C503" s="8" t="n">
        <x:v>44940.5</x:v>
      </x:c>
      <x:c r="D503" t="str">
        <x:v>114</x:v>
      </x:c>
      <x:c r="E503" t="str">
        <x:v>114</x:v>
      </x:c>
      <x:c r="F503" t="str">
        <x:v>lange mexiko</x:v>
      </x:c>
      <x:c r="G503" s="6" t="n">
        <x:v>2200</x:v>
      </x:c>
      <x:c r="H503" s="6" t="n">
        <x:v>0</x:v>
      </x:c>
      <x:c r="I503" s="6" t="n">
        <x:f>G503-H503</x:f>
        <x:v>2200</x:v>
      </x:c>
      <x:c r="J503" t="str">
        <x:v>20230101_2515</x:v>
      </x:c>
    </x:row>
    <x:row r="504">
      <x:c r="A504" t="n">
        <x:v>1340</x:v>
      </x:c>
      <x:c r="B504" t="n">
        <x:v>11100</x:v>
      </x:c>
      <x:c r="C504" s="8" t="n">
        <x:v>44964.5</x:v>
      </x:c>
      <x:c r="D504" t="str">
        <x:v>129</x:v>
      </x:c>
      <x:c r="E504" t="str">
        <x:v>129</x:v>
      </x:c>
      <x:c r="F504" t="str">
        <x:v>greece leviel</x:v>
      </x:c>
      <x:c r="G504" s="6" t="n">
        <x:v>884</x:v>
      </x:c>
      <x:c r="H504" s="6" t="n">
        <x:v>0</x:v>
      </x:c>
      <x:c r="I504" s="6" t="n">
        <x:f>G504-H504</x:f>
        <x:v>884</x:v>
      </x:c>
      <x:c r="J504" t="str">
        <x:v>20230101_2552</x:v>
      </x:c>
    </x:row>
    <x:row r="505">
      <x:c r="A505" t="n">
        <x:v>1349</x:v>
      </x:c>
      <x:c r="B505" t="n">
        <x:v>11100</x:v>
      </x:c>
      <x:c r="C505" s="8" t="n">
        <x:v>45006.5</x:v>
      </x:c>
      <x:c r="D505" t="str">
        <x:v>221</x:v>
      </x:c>
      <x:c r="E505" t="str">
        <x:v>221</x:v>
      </x:c>
      <x:c r="F505" t="str">
        <x:v>Lepri, Greece</x:v>
      </x:c>
      <x:c r="G505" s="6" t="n">
        <x:v>1180</x:v>
      </x:c>
      <x:c r="H505" s="6" t="n">
        <x:v>0</x:v>
      </x:c>
      <x:c r="I505" s="6" t="n">
        <x:f>G505-H505</x:f>
        <x:v>1180</x:v>
      </x:c>
      <x:c r="J505" t="str">
        <x:v>20230101_2708</x:v>
      </x:c>
    </x:row>
    <x:row r="506">
      <x:c r="A506" t="n">
        <x:v>1350</x:v>
      </x:c>
      <x:c r="B506" t="n">
        <x:v>11100</x:v>
      </x:c>
      <x:c r="C506" s="8" t="n">
        <x:v>44927.5</x:v>
      </x:c>
      <x:c r="D506" t="str">
        <x:v>248</x:v>
      </x:c>
      <x:c r="E506" t="str">
        <x:v>248</x:v>
      </x:c>
      <x:c r="F506" t="str">
        <x:v>Vortragsaktualisierung</x:v>
      </x:c>
      <x:c r="G506" s="6" t="n">
        <x:v>2024.86</x:v>
      </x:c>
      <x:c r="H506" s="6" t="n">
        <x:v>0</x:v>
      </x:c>
      <x:c r="I506" s="6" t="n">
        <x:f>G506-H506</x:f>
        <x:v>2024.86</x:v>
      </x:c>
      <x:c r="J506" t="str">
        <x:v>20230101_2426</x:v>
      </x:c>
    </x:row>
    <x:row r="507">
      <x:c r="A507" t="n">
        <x:v>1351</x:v>
      </x:c>
      <x:c r="B507" t="n">
        <x:v>11100</x:v>
      </x:c>
      <x:c r="C507" s="8" t="n">
        <x:v>45027.5</x:v>
      </x:c>
      <x:c r="D507" t="str">
        <x:v>2023%239</x:v>
      </x:c>
      <x:c r="E507" t="str">
        <x:v>2023%239</x:v>
      </x:c>
      <x:c r="F507" t="str">
        <x:v>Mark Lichtmann</x:v>
      </x:c>
      <x:c r="G507" s="6" t="n">
        <x:v>805</x:v>
      </x:c>
      <x:c r="H507" s="6" t="n">
        <x:v>0</x:v>
      </x:c>
      <x:c r="I507" s="6" t="n">
        <x:f>G507-H507</x:f>
        <x:v>805</x:v>
      </x:c>
      <x:c r="J507" t="str">
        <x:v>20230101_2797</x:v>
      </x:c>
    </x:row>
    <x:row r="508">
      <x:c r="A508" t="n">
        <x:v>1352</x:v>
      </x:c>
      <x:c r="B508" t="n">
        <x:v>11100</x:v>
      </x:c>
      <x:c r="C508" s="8" t="n">
        <x:v>45071.5</x:v>
      </x:c>
      <x:c r="D508" t="str">
        <x:v>2023%286</x:v>
      </x:c>
      <x:c r="E508" t="str">
        <x:v>2023%286</x:v>
      </x:c>
      <x:c r="F508" t="str">
        <x:v>Marieke Lenze</x:v>
      </x:c>
      <x:c r="G508" s="6" t="n">
        <x:v>2200</x:v>
      </x:c>
      <x:c r="H508" s="6" t="n">
        <x:v>0</x:v>
      </x:c>
      <x:c r="I508" s="6" t="n">
        <x:f>G508-H508</x:f>
        <x:v>2200</x:v>
      </x:c>
      <x:c r="J508" t="str">
        <x:v>20230101_3014</x:v>
      </x:c>
    </x:row>
    <x:row r="509">
      <x:c r="A509" t="n">
        <x:v>1353</x:v>
      </x:c>
      <x:c r="B509" t="n">
        <x:v>11100</x:v>
      </x:c>
      <x:c r="C509" s="8" t="n">
        <x:v>45091.5</x:v>
      </x:c>
      <x:c r="D509" t="str">
        <x:v>2023%306</x:v>
      </x:c>
      <x:c r="E509" t="str">
        <x:v>2023%306</x:v>
      </x:c>
      <x:c r="F509" t="str">
        <x:v>Anaelle Le Bondé</x:v>
      </x:c>
      <x:c r="G509" s="6" t="n">
        <x:v>286</x:v>
      </x:c>
      <x:c r="H509" s="6" t="n">
        <x:v>0</x:v>
      </x:c>
      <x:c r="I509" s="6" t="n">
        <x:f>G509-H509</x:f>
        <x:v>286</x:v>
      </x:c>
      <x:c r="J509" t="str">
        <x:v>20230101_3099</x:v>
      </x:c>
    </x:row>
    <x:row r="510">
      <x:c r="A510" t="n">
        <x:v>1354</x:v>
      </x:c>
      <x:c r="B510" t="n">
        <x:v>11100</x:v>
      </x:c>
      <x:c r="C510" s="8" t="n">
        <x:v>45125.5</x:v>
      </x:c>
      <x:c r="D510" t="str">
        <x:v>2023%351</x:v>
      </x:c>
      <x:c r="E510" t="str">
        <x:v>2023%351</x:v>
      </x:c>
      <x:c r="F510" t="str">
        <x:v>Lund</x:v>
      </x:c>
      <x:c r="G510" s="6" t="n">
        <x:v>608</x:v>
      </x:c>
      <x:c r="H510" s="6" t="n">
        <x:v>0</x:v>
      </x:c>
      <x:c r="I510" s="6" t="n">
        <x:f>G510-H510</x:f>
        <x:v>608</x:v>
      </x:c>
      <x:c r="J510" t="str">
        <x:v>20230101_3219</x:v>
      </x:c>
    </x:row>
    <x:row r="511">
      <x:c r="A511" t="n">
        <x:v>1355</x:v>
      </x:c>
      <x:c r="B511" t="n">
        <x:v>11100</x:v>
      </x:c>
      <x:c r="C511" s="8" t="n">
        <x:v>45034.5</x:v>
      </x:c>
      <x:c r="D511" t="str">
        <x:v>VRNeu30/2</x:v>
      </x:c>
      <x:c r="E511" t="str">
        <x:v>VRNeu30/2</x:v>
      </x:c>
      <x:c r="F511" t="str">
        <x:v>Lichtmann 2023-239</x:v>
      </x:c>
      <x:c r="G511" s="6" t="n">
        <x:v>0</x:v>
      </x:c>
      <x:c r="H511" s="6" t="n">
        <x:v>161</x:v>
      </x:c>
      <x:c r="I511" s="6" t="n">
        <x:f>G511-H511</x:f>
        <x:v>-161</x:v>
      </x:c>
      <x:c r="J511" t="str">
        <x:v>20230101_2845</x:v>
      </x:c>
    </x:row>
    <x:row r="512">
      <x:c r="A512" t="n">
        <x:v>1356</x:v>
      </x:c>
      <x:c r="B512" t="n">
        <x:v>11100</x:v>
      </x:c>
      <x:c r="C512" s="8" t="n">
        <x:v>45049.5</x:v>
      </x:c>
      <x:c r="D512" t="str">
        <x:v>VRNeu36/1</x:v>
      </x:c>
      <x:c r="E512" t="str">
        <x:v>VRNeu36/1</x:v>
      </x:c>
      <x:c r="F512" t="str">
        <x:v>Lepri 2023-221</x:v>
      </x:c>
      <x:c r="G512" s="6" t="n">
        <x:v>0</x:v>
      </x:c>
      <x:c r="H512" s="6" t="n">
        <x:v>472</x:v>
      </x:c>
      <x:c r="I512" s="6" t="n">
        <x:f>G512-H512</x:f>
        <x:v>-472</x:v>
      </x:c>
      <x:c r="J512" t="str">
        <x:v>20230101_2931</x:v>
      </x:c>
    </x:row>
    <x:row r="513">
      <x:c r="A513" t="n">
        <x:v>1357</x:v>
      </x:c>
      <x:c r="B513" t="n">
        <x:v>11100</x:v>
      </x:c>
      <x:c r="C513" s="8" t="n">
        <x:v>44942.5</x:v>
      </x:c>
      <x:c r="D513" t="str">
        <x:v>VRNeu4/1</x:v>
      </x:c>
      <x:c r="E513" t="str">
        <x:v>VRNeu4/1</x:v>
      </x:c>
      <x:c r="F513" t="str">
        <x:v>Andrea Lambirch 2022-258</x:v>
      </x:c>
      <x:c r="G513" s="6" t="n">
        <x:v>0</x:v>
      </x:c>
      <x:c r="H513" s="6" t="n">
        <x:v>1960</x:v>
      </x:c>
      <x:c r="I513" s="6" t="n">
        <x:f>G513-H513</x:f>
        <x:v>-1960</x:v>
      </x:c>
      <x:c r="J513" t="str">
        <x:v>20230101_2519</x:v>
      </x:c>
    </x:row>
    <x:row r="514">
      <x:c r="A514" t="n">
        <x:v>1358</x:v>
      </x:c>
      <x:c r="B514" t="n">
        <x:v>11100</x:v>
      </x:c>
      <x:c r="C514" s="8" t="n">
        <x:v>45082.5</x:v>
      </x:c>
      <x:c r="D514" t="str">
        <x:v>VRNeu46/1</x:v>
      </x:c>
      <x:c r="E514" t="str">
        <x:v>VRNeu46/1</x:v>
      </x:c>
      <x:c r="F514" t="str">
        <x:v>Lenze 2023_286</x:v>
      </x:c>
      <x:c r="G514" s="6" t="n">
        <x:v>0</x:v>
      </x:c>
      <x:c r="H514" s="6" t="n">
        <x:v>440</x:v>
      </x:c>
      <x:c r="I514" s="6" t="n">
        <x:f>G514-H514</x:f>
        <x:v>-440</x:v>
      </x:c>
      <x:c r="J514" t="str">
        <x:v>20230101_3030</x:v>
      </x:c>
    </x:row>
    <x:row r="515">
      <x:c r="A515" t="n">
        <x:v>1359</x:v>
      </x:c>
      <x:c r="B515" t="n">
        <x:v>11100</x:v>
      </x:c>
      <x:c r="C515" s="8" t="n">
        <x:v>44956.5</x:v>
      </x:c>
      <x:c r="D515" t="str">
        <x:v>VRNeu5/3</x:v>
      </x:c>
      <x:c r="E515" t="str">
        <x:v>VRNeu5/3</x:v>
      </x:c>
      <x:c r="F515" t="str">
        <x:v>Dr. Constantin Lange 2023-114</x:v>
      </x:c>
      <x:c r="G515" s="6" t="n">
        <x:v>0</x:v>
      </x:c>
      <x:c r="H515" s="6" t="n">
        <x:v>440</x:v>
      </x:c>
      <x:c r="I515" s="6" t="n">
        <x:f>G515-H515</x:f>
        <x:v>-440</x:v>
      </x:c>
      <x:c r="J515" t="str">
        <x:v>20230101_2537</x:v>
      </x:c>
    </x:row>
    <x:row r="516">
      <x:c r="A516" t="n">
        <x:v>1360</x:v>
      </x:c>
      <x:c r="B516" t="n">
        <x:v>11100</x:v>
      </x:c>
      <x:c r="C516" s="8" t="n">
        <x:v>45112.5</x:v>
      </x:c>
      <x:c r="D516" t="str">
        <x:v>VRNeu52/2</x:v>
      </x:c>
      <x:c r="E516" t="str">
        <x:v>VRNeu52/2</x:v>
      </x:c>
      <x:c r="F516" t="str">
        <x:v>Lange Gutschrift  Auszahlung</x:v>
      </x:c>
      <x:c r="G516" s="6" t="n">
        <x:v>440</x:v>
      </x:c>
      <x:c r="H516" s="6" t="n">
        <x:v>0</x:v>
      </x:c>
      <x:c r="I516" s="6" t="n">
        <x:f>G516-H516</x:f>
        <x:v>440</x:v>
      </x:c>
      <x:c r="J516" t="str">
        <x:v>20230101_3189</x:v>
      </x:c>
    </x:row>
    <x:row r="517">
      <x:c r="A517" t="n">
        <x:v>1361</x:v>
      </x:c>
      <x:c r="B517" t="n">
        <x:v>11100</x:v>
      </x:c>
      <x:c r="C517" s="8" t="n">
        <x:v>45133.5</x:v>
      </x:c>
      <x:c r="D517" t="str">
        <x:v>VRNeu58/2</x:v>
      </x:c>
      <x:c r="E517" t="str">
        <x:v>VRNeu58/2</x:v>
      </x:c>
      <x:c r="F517" t="str">
        <x:v>Le Bonde3 2023-306</x:v>
      </x:c>
      <x:c r="G517" s="6" t="n">
        <x:v>0</x:v>
      </x:c>
      <x:c r="H517" s="6" t="n">
        <x:v>286</x:v>
      </x:c>
      <x:c r="I517" s="6" t="n">
        <x:f>G517-H517</x:f>
        <x:v>-286</x:v>
      </x:c>
      <x:c r="J517" t="str">
        <x:v>20230101_3267</x:v>
      </x:c>
    </x:row>
    <x:row r="518">
      <x:c r="A518" t="n">
        <x:v>1362</x:v>
      </x:c>
      <x:c r="B518" t="n">
        <x:v>11100</x:v>
      </x:c>
      <x:c r="C518" s="8" t="n">
        <x:v>45166.5</x:v>
      </x:c>
      <x:c r="D518" t="str">
        <x:v>VRNeu65/1</x:v>
      </x:c>
      <x:c r="E518" t="str">
        <x:v>VRNeu65/1</x:v>
      </x:c>
      <x:c r="F518" t="str">
        <x:v>Lerche Lund 2023 352</x:v>
      </x:c>
      <x:c r="G518" s="6" t="n">
        <x:v>0</x:v>
      </x:c>
      <x:c r="H518" s="6" t="n">
        <x:v>608</x:v>
      </x:c>
      <x:c r="I518" s="6" t="n">
        <x:f>G518-H518</x:f>
        <x:v>-608</x:v>
      </x:c>
      <x:c r="J518" t="str">
        <x:v>20230101_3313</x:v>
      </x:c>
    </x:row>
    <x:row r="519">
      <x:c r="A519" t="n">
        <x:v>1363</x:v>
      </x:c>
      <x:c r="B519" t="n">
        <x:v>11100</x:v>
      </x:c>
      <x:c r="C519" s="8" t="n">
        <x:v>45169.5</x:v>
      </x:c>
      <x:c r="D519" t="str">
        <x:v>VRNeu66/2</x:v>
      </x:c>
      <x:c r="E519" t="str">
        <x:v>VRNeu66/2</x:v>
      </x:c>
      <x:c r="F519" t="str">
        <x:v>Lenz 2023 286</x:v>
      </x:c>
      <x:c r="G519" s="6" t="n">
        <x:v>0</x:v>
      </x:c>
      <x:c r="H519" s="6" t="n">
        <x:v>1760</x:v>
      </x:c>
      <x:c r="I519" s="6" t="n">
        <x:f>G519-H519</x:f>
        <x:v>-1760</x:v>
      </x:c>
      <x:c r="J519" t="str">
        <x:v>20230101_3323</x:v>
      </x:c>
    </x:row>
    <x:row r="520">
      <x:c r="A520" t="n">
        <x:v>1364</x:v>
      </x:c>
      <x:c r="B520" t="n">
        <x:v>11100</x:v>
      </x:c>
      <x:c r="C520" s="8" t="n">
        <x:v>45177.5</x:v>
      </x:c>
      <x:c r="D520" t="str">
        <x:v>VRNeu70/1</x:v>
      </x:c>
      <x:c r="E520" t="str">
        <x:v>VRNeu70/1</x:v>
      </x:c>
      <x:c r="F520" t="str">
        <x:v>Lichtmann 2023-239</x:v>
      </x:c>
      <x:c r="G520" s="6" t="n">
        <x:v>0</x:v>
      </x:c>
      <x:c r="H520" s="6" t="n">
        <x:v>644</x:v>
      </x:c>
      <x:c r="I520" s="6" t="n">
        <x:f>G520-H520</x:f>
        <x:v>-644</x:v>
      </x:c>
      <x:c r="J520" t="str">
        <x:v>20230101_3349</x:v>
      </x:c>
    </x:row>
    <x:row r="521">
      <x:c r="A521" t="n">
        <x:v>1365</x:v>
      </x:c>
      <x:c r="B521" t="n">
        <x:v>11200</x:v>
      </x:c>
      <x:c r="C521" s="8" t="n">
        <x:v>44927.5</x:v>
      </x:c>
      <x:c r="D521" t="str">
        <x:v>4</x:v>
      </x:c>
      <x:c r="E521" t="str">
        <x:v>4</x:v>
      </x:c>
      <x:c r="F521" t="str">
        <x:v>menzel</x:v>
      </x:c>
      <x:c r="G521" s="6" t="n">
        <x:v>0</x:v>
      </x:c>
      <x:c r="H521" s="6" t="n">
        <x:v>1390</x:v>
      </x:c>
      <x:c r="I521" s="6" t="n">
        <x:f>G521-H521</x:f>
        <x:v>-1390</x:v>
      </x:c>
      <x:c r="J521" t="str">
        <x:v>20230101_2460</x:v>
      </x:c>
    </x:row>
    <x:row r="522">
      <x:c r="A522" t="n">
        <x:v>1366</x:v>
      </x:c>
      <x:c r="B522" t="n">
        <x:v>11200</x:v>
      </x:c>
      <x:c r="C522" s="8" t="n">
        <x:v>44927.5</x:v>
      </x:c>
      <x:c r="D522" t="str">
        <x:v>23</x:v>
      </x:c>
      <x:c r="E522" t="str">
        <x:v>23</x:v>
      </x:c>
      <x:c r="F522" t="str">
        <x:v>mollerus</x:v>
      </x:c>
      <x:c r="G522" s="6" t="n">
        <x:v>0</x:v>
      </x:c>
      <x:c r="H522" s="6" t="n">
        <x:v>1604</x:v>
      </x:c>
      <x:c r="I522" s="6" t="n">
        <x:f>G522-H522</x:f>
        <x:v>-1604</x:v>
      </x:c>
      <x:c r="J522" t="str">
        <x:v>20230101_2461</x:v>
      </x:c>
    </x:row>
    <x:row r="523">
      <x:c r="A523" t="n">
        <x:v>1367</x:v>
      </x:c>
      <x:c r="B523" t="n">
        <x:v>11200</x:v>
      </x:c>
      <x:c r="C523" s="8" t="n">
        <x:v>44940.5</x:v>
      </x:c>
      <x:c r="D523" t="str">
        <x:v>113</x:v>
      </x:c>
      <x:c r="E523" t="str">
        <x:v>113</x:v>
      </x:c>
      <x:c r="F523" t="str">
        <x:v>millan costa rica</x:v>
      </x:c>
      <x:c r="G523" s="6" t="n">
        <x:v>1295</x:v>
      </x:c>
      <x:c r="H523" s="6" t="n">
        <x:v>0</x:v>
      </x:c>
      <x:c r="I523" s="6" t="n">
        <x:f>G523-H523</x:f>
        <x:v>1295</x:v>
      </x:c>
      <x:c r="J523" t="str">
        <x:v>20230101_2514</x:v>
      </x:c>
    </x:row>
    <x:row r="524">
      <x:c r="A524" t="n">
        <x:v>1368</x:v>
      </x:c>
      <x:c r="B524" t="n">
        <x:v>11200</x:v>
      </x:c>
      <x:c r="C524" s="8" t="n">
        <x:v>44957.5</x:v>
      </x:c>
      <x:c r="D524" t="str">
        <x:v>122</x:v>
      </x:c>
      <x:c r="E524" t="str">
        <x:v>122</x:v>
      </x:c>
      <x:c r="F524" t="str">
        <x:v>meisterknecht griechenland</x:v>
      </x:c>
      <x:c r="G524" s="6" t="n">
        <x:v>318</x:v>
      </x:c>
      <x:c r="H524" s="6" t="n">
        <x:v>0</x:v>
      </x:c>
      <x:c r="I524" s="6" t="n">
        <x:f>G524-H524</x:f>
        <x:v>318</x:v>
      </x:c>
      <x:c r="J524" t="str">
        <x:v>20230101_2539</x:v>
      </x:c>
    </x:row>
    <x:row r="525">
      <x:c r="A525" t="n">
        <x:v>1369</x:v>
      </x:c>
      <x:c r="B525" t="n">
        <x:v>11200</x:v>
      </x:c>
      <x:c r="C525" s="8" t="n">
        <x:v>44966.5</x:v>
      </x:c>
      <x:c r="D525" t="str">
        <x:v>135</x:v>
      </x:c>
      <x:c r="E525" t="str">
        <x:v>135</x:v>
      </x:c>
      <x:c r="F525" t="str">
        <x:v>mißfeldt griechenland</x:v>
      </x:c>
      <x:c r="G525" s="6" t="n">
        <x:v>176</x:v>
      </x:c>
      <x:c r="H525" s="6" t="n">
        <x:v>0</x:v>
      </x:c>
      <x:c r="I525" s="6" t="n">
        <x:f>G525-H525</x:f>
        <x:v>176</x:v>
      </x:c>
      <x:c r="J525" t="str">
        <x:v>20230101_2561</x:v>
      </x:c>
    </x:row>
    <x:row r="526">
      <x:c r="A526" t="n">
        <x:v>1370</x:v>
      </x:c>
      <x:c r="B526" t="n">
        <x:v>11200</x:v>
      </x:c>
      <x:c r="C526" s="8" t="n">
        <x:v>44927.5</x:v>
      </x:c>
      <x:c r="D526" t="str">
        <x:v>138</x:v>
      </x:c>
      <x:c r="E526" t="str">
        <x:v>138</x:v>
      </x:c>
      <x:c r="F526" t="str">
        <x:v>morgenstern</x:v>
      </x:c>
      <x:c r="G526" s="6" t="n">
        <x:v>0</x:v>
      </x:c>
      <x:c r="H526" s="6" t="n">
        <x:v>3770.1</x:v>
      </x:c>
      <x:c r="I526" s="6" t="n">
        <x:f>G526-H526</x:f>
        <x:v>-3770.1</x:v>
      </x:c>
      <x:c r="J526" t="str">
        <x:v>20230101_2462</x:v>
      </x:c>
    </x:row>
    <x:row r="527">
      <x:c r="A527" t="n">
        <x:v>1371</x:v>
      </x:c>
      <x:c r="B527" t="n">
        <x:v>11200</x:v>
      </x:c>
      <x:c r="C527" s="8" t="n">
        <x:v>44970.5</x:v>
      </x:c>
      <x:c r="D527" t="str">
        <x:v>138</x:v>
      </x:c>
      <x:c r="E527" t="str">
        <x:v>138</x:v>
      </x:c>
      <x:c r="F527" t="str">
        <x:v>Chanal Greece</x:v>
      </x:c>
      <x:c r="G527" s="6" t="n">
        <x:v>246</x:v>
      </x:c>
      <x:c r="H527" s="6" t="n">
        <x:v>0</x:v>
      </x:c>
      <x:c r="I527" s="6" t="n">
        <x:f>G527-H527</x:f>
        <x:v>246</x:v>
      </x:c>
      <x:c r="J527" t="str">
        <x:v>20230101_2564</x:v>
      </x:c>
    </x:row>
    <x:row r="528">
      <x:c r="A528" t="n">
        <x:v>1372</x:v>
      </x:c>
      <x:c r="B528" t="n">
        <x:v>11200</x:v>
      </x:c>
      <x:c r="C528" s="8" t="n">
        <x:v>44927.5</x:v>
      </x:c>
      <x:c r="D528" t="str">
        <x:v>150</x:v>
      </x:c>
      <x:c r="E528" t="str">
        <x:v>150</x:v>
      </x:c>
      <x:c r="F528" t="str">
        <x:v>mauvais</x:v>
      </x:c>
      <x:c r="G528" s="6" t="n">
        <x:v>0</x:v>
      </x:c>
      <x:c r="H528" s="6" t="n">
        <x:v>570</x:v>
      </x:c>
      <x:c r="I528" s="6" t="n">
        <x:f>G528-H528</x:f>
        <x:v>-570</x:v>
      </x:c>
      <x:c r="J528" t="str">
        <x:v>20230101_3570</x:v>
      </x:c>
    </x:row>
    <x:row r="529">
      <x:c r="A529" t="n">
        <x:v>1383</x:v>
      </x:c>
      <x:c r="B529" t="n">
        <x:v>11200</x:v>
      </x:c>
      <x:c r="C529" s="8" t="n">
        <x:v>44927.5</x:v>
      </x:c>
      <x:c r="D529" t="str">
        <x:v>216</x:v>
      </x:c>
      <x:c r="E529" t="str">
        <x:v>216</x:v>
      </x:c>
      <x:c r="F529" t="str">
        <x:v>mirke</x:v>
      </x:c>
      <x:c r="G529" s="6" t="n">
        <x:v>573.3</x:v>
      </x:c>
      <x:c r="H529" s="6" t="n">
        <x:v>0</x:v>
      </x:c>
      <x:c r="I529" s="6" t="n">
        <x:f>G529-H529</x:f>
        <x:v>573.3</x:v>
      </x:c>
      <x:c r="J529" t="str">
        <x:v>20230101_2464</x:v>
      </x:c>
    </x:row>
    <x:row r="530">
      <x:c r="A530" t="n">
        <x:v>1384</x:v>
      </x:c>
      <x:c r="B530" t="n">
        <x:v>11200</x:v>
      </x:c>
      <x:c r="C530" s="8" t="n">
        <x:v>45019.5</x:v>
      </x:c>
      <x:c r="D530" t="str">
        <x:v>227</x:v>
      </x:c>
      <x:c r="E530" t="str">
        <x:v>227</x:v>
      </x:c>
      <x:c r="F530" t="str">
        <x:v>Montag, Greecd</x:v>
      </x:c>
      <x:c r="G530" s="6" t="n">
        <x:v>152</x:v>
      </x:c>
      <x:c r="H530" s="6" t="n">
        <x:v>0</x:v>
      </x:c>
      <x:c r="I530" s="6" t="n">
        <x:f>G530-H530</x:f>
        <x:v>152</x:v>
      </x:c>
      <x:c r="J530" t="str">
        <x:v>20230101_2750</x:v>
      </x:c>
    </x:row>
    <x:row r="531">
      <x:c r="A531" t="n">
        <x:v>1385</x:v>
      </x:c>
      <x:c r="B531" t="n">
        <x:v>11200</x:v>
      </x:c>
      <x:c r="C531" s="8" t="n">
        <x:v>44927.5</x:v>
      </x:c>
      <x:c r="D531" t="str">
        <x:v>245</x:v>
      </x:c>
      <x:c r="E531" t="str">
        <x:v>245</x:v>
      </x:c>
      <x:c r="F531" t="str">
        <x:v>mccleary</x:v>
      </x:c>
      <x:c r="G531" s="6" t="n">
        <x:v>0</x:v>
      </x:c>
      <x:c r="H531" s="6" t="n">
        <x:v>750</x:v>
      </x:c>
      <x:c r="I531" s="6" t="n">
        <x:f>G531-H531</x:f>
        <x:v>-750</x:v>
      </x:c>
      <x:c r="J531" t="str">
        <x:v>20230101_2465</x:v>
      </x:c>
    </x:row>
    <x:row r="532">
      <x:c r="A532" t="n">
        <x:v>1386</x:v>
      </x:c>
      <x:c r="B532" t="n">
        <x:v>11200</x:v>
      </x:c>
      <x:c r="C532" s="8" t="n">
        <x:v>44927.5</x:v>
      </x:c>
      <x:c r="D532" t="str">
        <x:v>249</x:v>
      </x:c>
      <x:c r="E532" t="str">
        <x:v>249</x:v>
      </x:c>
      <x:c r="F532" t="str">
        <x:v>Vortragsaktualisierung</x:v>
      </x:c>
      <x:c r="G532" s="6" t="n">
        <x:v>9672.6</x:v>
      </x:c>
      <x:c r="H532" s="6" t="n">
        <x:v>0</x:v>
      </x:c>
      <x:c r="I532" s="6" t="n">
        <x:f>G532-H532</x:f>
        <x:v>9672.6</x:v>
      </x:c>
      <x:c r="J532" t="str">
        <x:v>20230101_2487</x:v>
      </x:c>
    </x:row>
    <x:row r="533">
      <x:c r="A533" t="n">
        <x:v>1387</x:v>
      </x:c>
      <x:c r="B533" t="n">
        <x:v>11200</x:v>
      </x:c>
      <x:c r="C533" s="8" t="n">
        <x:v>45021.5</x:v>
      </x:c>
      <x:c r="D533" t="str">
        <x:v>2023%230</x:v>
      </x:c>
      <x:c r="E533" t="str">
        <x:v>2023%230</x:v>
      </x:c>
      <x:c r="F533" t="str">
        <x:v>Paula Mohn</x:v>
      </x:c>
      <x:c r="G533" s="6" t="n">
        <x:v>3120</x:v>
      </x:c>
      <x:c r="H533" s="6" t="n">
        <x:v>0</x:v>
      </x:c>
      <x:c r="I533" s="6" t="n">
        <x:f>G533-H533</x:f>
        <x:v>3120</x:v>
      </x:c>
      <x:c r="J533" t="str">
        <x:v>20230101_2763</x:v>
      </x:c>
    </x:row>
    <x:row r="534">
      <x:c r="A534" t="n">
        <x:v>1388</x:v>
      </x:c>
      <x:c r="B534" t="n">
        <x:v>11200</x:v>
      </x:c>
      <x:c r="C534" s="8" t="n">
        <x:v>45048.5</x:v>
      </x:c>
      <x:c r="D534" t="str">
        <x:v>2023%269</x:v>
      </x:c>
      <x:c r="E534" t="str">
        <x:v>2023%269</x:v>
      </x:c>
      <x:c r="F534" t="str">
        <x:v>Isabelle Malmberg</x:v>
      </x:c>
      <x:c r="G534" s="6" t="n">
        <x:v>1410</x:v>
      </x:c>
      <x:c r="H534" s="6" t="n">
        <x:v>0</x:v>
      </x:c>
      <x:c r="I534" s="6" t="n">
        <x:f>G534-H534</x:f>
        <x:v>1410</x:v>
      </x:c>
      <x:c r="J534" t="str">
        <x:v>20230101_2918</x:v>
      </x:c>
    </x:row>
    <x:row r="535">
      <x:c r="A535" t="n">
        <x:v>1389</x:v>
      </x:c>
      <x:c r="B535" t="n">
        <x:v>11200</x:v>
      </x:c>
      <x:c r="C535" s="8" t="n">
        <x:v>45061.5</x:v>
      </x:c>
      <x:c r="D535" t="str">
        <x:v>2023%278</x:v>
      </x:c>
      <x:c r="E535" t="str">
        <x:v>2023%278</x:v>
      </x:c>
      <x:c r="F535" t="str">
        <x:v>Aurélien Merkli</x:v>
      </x:c>
      <x:c r="G535" s="6" t="n">
        <x:v>1830</x:v>
      </x:c>
      <x:c r="H535" s="6" t="n">
        <x:v>0</x:v>
      </x:c>
      <x:c r="I535" s="6" t="n">
        <x:f>G535-H535</x:f>
        <x:v>1830</x:v>
      </x:c>
      <x:c r="J535" t="str">
        <x:v>20230101_2968</x:v>
      </x:c>
    </x:row>
    <x:row r="536">
      <x:c r="A536" t="n">
        <x:v>1390</x:v>
      </x:c>
      <x:c r="B536" t="n">
        <x:v>11200</x:v>
      </x:c>
      <x:c r="C536" s="8" t="n">
        <x:v>45061.5</x:v>
      </x:c>
      <x:c r="D536" t="str">
        <x:v>2023%279</x:v>
      </x:c>
      <x:c r="E536" t="str">
        <x:v>2023%279</x:v>
      </x:c>
      <x:c r="F536" t="str">
        <x:v>Meaningful Travel GmbH</x:v>
      </x:c>
      <x:c r="G536" s="6" t="n">
        <x:v>256.57</x:v>
      </x:c>
      <x:c r="H536" s="6" t="n">
        <x:v>0</x:v>
      </x:c>
      <x:c r="I536" s="6" t="n">
        <x:f>G536-H536</x:f>
        <x:v>256.57</x:v>
      </x:c>
      <x:c r="J536" t="str">
        <x:v>20230101_2966</x:v>
      </x:c>
    </x:row>
    <x:row r="537">
      <x:c r="A537" t="n">
        <x:v>1391</x:v>
      </x:c>
      <x:c r="B537" t="n">
        <x:v>11200</x:v>
      </x:c>
      <x:c r="C537" s="8" t="n">
        <x:v>45089.5</x:v>
      </x:c>
      <x:c r="D537" t="str">
        <x:v>2023%296</x:v>
      </x:c>
      <x:c r="E537" t="str">
        <x:v>2023%296</x:v>
      </x:c>
      <x:c r="F537" t="str">
        <x:v>Clara Melot</x:v>
      </x:c>
      <x:c r="G537" s="6" t="n">
        <x:v>1090</x:v>
      </x:c>
      <x:c r="H537" s="6" t="n">
        <x:v>0</x:v>
      </x:c>
      <x:c r="I537" s="6" t="n">
        <x:f>G537-H537</x:f>
        <x:v>1090</x:v>
      </x:c>
      <x:c r="J537" t="str">
        <x:v>20230101_3062</x:v>
      </x:c>
    </x:row>
    <x:row r="538">
      <x:c r="A538" t="n">
        <x:v>1392</x:v>
      </x:c>
      <x:c r="B538" t="n">
        <x:v>11200</x:v>
      </x:c>
      <x:c r="C538" s="8" t="n">
        <x:v>45106.5</x:v>
      </x:c>
      <x:c r="D538" t="str">
        <x:v>2023%318</x:v>
      </x:c>
      <x:c r="E538" t="str">
        <x:v>2023%318</x:v>
      </x:c>
      <x:c r="F538" t="str">
        <x:v>Nils Münder</x:v>
      </x:c>
      <x:c r="G538" s="6" t="n">
        <x:v>6210</x:v>
      </x:c>
      <x:c r="H538" s="6" t="n">
        <x:v>0</x:v>
      </x:c>
      <x:c r="I538" s="6" t="n">
        <x:f>G538-H538</x:f>
        <x:v>6210</x:v>
      </x:c>
      <x:c r="J538" t="str">
        <x:v>20230101_3172</x:v>
      </x:c>
    </x:row>
    <x:row r="539">
      <x:c r="A539" t="n">
        <x:v>1393</x:v>
      </x:c>
      <x:c r="B539" t="n">
        <x:v>11200</x:v>
      </x:c>
      <x:c r="C539" s="8" t="n">
        <x:v>45106.5</x:v>
      </x:c>
      <x:c r="D539" t="str">
        <x:v>2023%319</x:v>
      </x:c>
      <x:c r="E539" t="str">
        <x:v>2023%319</x:v>
      </x:c>
      <x:c r="F539" t="str">
        <x:v>Nils Münder</x:v>
      </x:c>
      <x:c r="G539" s="6" t="n">
        <x:v>1940</x:v>
      </x:c>
      <x:c r="H539" s="6" t="n">
        <x:v>0</x:v>
      </x:c>
      <x:c r="I539" s="6" t="n">
        <x:f>G539-H539</x:f>
        <x:v>1940</x:v>
      </x:c>
      <x:c r="J539" t="str">
        <x:v>20230101_3174</x:v>
      </x:c>
    </x:row>
    <x:row r="540">
      <x:c r="A540" t="n">
        <x:v>1394</x:v>
      </x:c>
      <x:c r="B540" t="n">
        <x:v>11200</x:v>
      </x:c>
      <x:c r="C540" s="8" t="n">
        <x:v>45351.5</x:v>
      </x:c>
      <x:c r="D540" t="str">
        <x:v>2023%319</x:v>
      </x:c>
      <x:c r="E540" t="str">
        <x:v>2023%319</x:v>
      </x:c>
      <x:c r="F540" t="str">
        <x:v>Umb. 10069 Münder Nils 2023-319</x:v>
      </x:c>
      <x:c r="G540" s="6" t="n">
        <x:v>0</x:v>
      </x:c>
      <x:c r="H540" s="6" t="n">
        <x:v>1552</x:v>
      </x:c>
      <x:c r="I540" s="6" t="n">
        <x:f>G540-H540</x:f>
        <x:v>-1552</x:v>
      </x:c>
      <x:c r="J540" t="str">
        <x:v>20240101_9646</x:v>
      </x:c>
    </x:row>
    <x:row r="541">
      <x:c r="A541" t="n">
        <x:v>1395</x:v>
      </x:c>
      <x:c r="B541" t="n">
        <x:v>11200</x:v>
      </x:c>
      <x:c r="C541" s="8" t="n">
        <x:v>45106.5</x:v>
      </x:c>
      <x:c r="D541" t="str">
        <x:v>2023%320</x:v>
      </x:c>
      <x:c r="E541" t="str">
        <x:v>2023%320</x:v>
      </x:c>
      <x:c r="F541" t="str">
        <x:v>Nils Münder</x:v>
      </x:c>
      <x:c r="G541" s="6" t="n">
        <x:v>1850</x:v>
      </x:c>
      <x:c r="H541" s="6" t="n">
        <x:v>0</x:v>
      </x:c>
      <x:c r="I541" s="6" t="n">
        <x:f>G541-H541</x:f>
        <x:v>1850</x:v>
      </x:c>
      <x:c r="J541" t="str">
        <x:v>20230101_3176</x:v>
      </x:c>
    </x:row>
    <x:row r="542">
      <x:c r="A542" t="n">
        <x:v>1396</x:v>
      </x:c>
      <x:c r="B542" t="n">
        <x:v>11200</x:v>
      </x:c>
      <x:c r="C542" s="8" t="n">
        <x:v>44998.5</x:v>
      </x:c>
      <x:c r="D542" t="str">
        <x:v>VRNeu17/2</x:v>
      </x:c>
      <x:c r="E542" t="str">
        <x:v>VRNeu17/2</x:v>
      </x:c>
      <x:c r="F542" t="str">
        <x:v>Mirke Nadine 2022-216</x:v>
      </x:c>
      <x:c r="G542" s="6" t="n">
        <x:v>0</x:v>
      </x:c>
      <x:c r="H542" s="6" t="n">
        <x:v>796.5</x:v>
      </x:c>
      <x:c r="I542" s="6" t="n">
        <x:f>G542-H542</x:f>
        <x:v>-796.5</x:v>
      </x:c>
      <x:c r="J542" t="str">
        <x:v>20230101_2671</x:v>
      </x:c>
    </x:row>
    <x:row r="543">
      <x:c r="A543" t="n">
        <x:v>1397</x:v>
      </x:c>
      <x:c r="B543" t="n">
        <x:v>11200</x:v>
      </x:c>
      <x:c r="C543" s="8" t="n">
        <x:v>45035.5</x:v>
      </x:c>
      <x:c r="D543" t="str">
        <x:v>VRNeu31/1</x:v>
      </x:c>
      <x:c r="E543" t="str">
        <x:v>VRNeu31/1</x:v>
      </x:c>
      <x:c r="F543" t="str">
        <x:v>Mohn 2023-230</x:v>
      </x:c>
      <x:c r="G543" s="6" t="n">
        <x:v>0</x:v>
      </x:c>
      <x:c r="H543" s="6" t="n">
        <x:v>624</x:v>
      </x:c>
      <x:c r="I543" s="6" t="n">
        <x:f>G543-H543</x:f>
        <x:v>-624</x:v>
      </x:c>
      <x:c r="J543" t="str">
        <x:v>20230101_2852</x:v>
      </x:c>
    </x:row>
    <x:row r="544">
      <x:c r="A544" t="n">
        <x:v>1398</x:v>
      </x:c>
      <x:c r="B544" t="n">
        <x:v>11200</x:v>
      </x:c>
      <x:c r="C544" s="8" t="n">
        <x:v>45056.5</x:v>
      </x:c>
      <x:c r="D544" t="str">
        <x:v>VRNeu38/2</x:v>
      </x:c>
      <x:c r="E544" t="str">
        <x:v>VRNeu38/2</x:v>
      </x:c>
      <x:c r="F544" t="str">
        <x:v>Malmberg 2023_269</x:v>
      </x:c>
      <x:c r="G544" s="6" t="n">
        <x:v>0</x:v>
      </x:c>
      <x:c r="H544" s="6" t="n">
        <x:v>564</x:v>
      </x:c>
      <x:c r="I544" s="6" t="n">
        <x:f>G544-H544</x:f>
        <x:v>-564</x:v>
      </x:c>
      <x:c r="J544" t="str">
        <x:v>20230101_2949</x:v>
      </x:c>
    </x:row>
    <x:row r="545">
      <x:c r="A545" t="n">
        <x:v>1399</x:v>
      </x:c>
      <x:c r="B545" t="n">
        <x:v>11200</x:v>
      </x:c>
      <x:c r="C545" s="8" t="n">
        <x:v>45065.5</x:v>
      </x:c>
      <x:c r="D545" t="str">
        <x:v>VRNeu41/2</x:v>
      </x:c>
      <x:c r="E545" t="str">
        <x:v>VRNeu41/2</x:v>
      </x:c>
      <x:c r="F545" t="str">
        <x:v>Bertrand 2023_278</x:v>
      </x:c>
      <x:c r="G545" s="6" t="n">
        <x:v>0</x:v>
      </x:c>
      <x:c r="H545" s="6" t="n">
        <x:v>1830</x:v>
      </x:c>
      <x:c r="I545" s="6" t="n">
        <x:f>G545-H545</x:f>
        <x:v>-1830</x:v>
      </x:c>
      <x:c r="J545" t="str">
        <x:v>20230101_2989</x:v>
      </x:c>
    </x:row>
    <x:row r="546">
      <x:c r="A546" t="n">
        <x:v>1400</x:v>
      </x:c>
      <x:c r="B546" t="n">
        <x:v>11200</x:v>
      </x:c>
      <x:c r="C546" s="8" t="n">
        <x:v>45068.5</x:v>
      </x:c>
      <x:c r="D546" t="str">
        <x:v>VRNeu42/1</x:v>
      </x:c>
      <x:c r="E546" t="str">
        <x:v>VRNeu42/1</x:v>
      </x:c>
      <x:c r="F546" t="str">
        <x:v>Marckwald 2022_231</x:v>
      </x:c>
      <x:c r="G546" s="6" t="n">
        <x:v>0</x:v>
      </x:c>
      <x:c r="H546" s="6" t="n">
        <x:v>792</x:v>
      </x:c>
      <x:c r="I546" s="6" t="n">
        <x:f>G546-H546</x:f>
        <x:v>-792</x:v>
      </x:c>
      <x:c r="J546" t="str">
        <x:v>20230101_2990</x:v>
      </x:c>
    </x:row>
    <x:row r="547">
      <x:c r="A547" t="n">
        <x:v>1401</x:v>
      </x:c>
      <x:c r="B547" t="n">
        <x:v>11200</x:v>
      </x:c>
      <x:c r="C547" s="8" t="n">
        <x:v>45070.5</x:v>
      </x:c>
      <x:c r="D547" t="str">
        <x:v>VRNeu43</x:v>
      </x:c>
      <x:c r="E547" t="str">
        <x:v>VRNeu43</x:v>
      </x:c>
      <x:c r="F547" t="str">
        <x:v>Montag 2023_227</x:v>
      </x:c>
      <x:c r="G547" s="6" t="n">
        <x:v>0</x:v>
      </x:c>
      <x:c r="H547" s="6" t="n">
        <x:v>152</x:v>
      </x:c>
      <x:c r="I547" s="6" t="n">
        <x:f>G547-H547</x:f>
        <x:v>-152</x:v>
      </x:c>
      <x:c r="J547" t="str">
        <x:v>20230101_3007</x:v>
      </x:c>
    </x:row>
    <x:row r="548">
      <x:c r="A548" t="n">
        <x:v>1402</x:v>
      </x:c>
      <x:c r="B548" t="n">
        <x:v>11200</x:v>
      </x:c>
      <x:c r="C548" s="8" t="n">
        <x:v>45097.5</x:v>
      </x:c>
      <x:c r="D548" t="str">
        <x:v>VRNeu51/2</x:v>
      </x:c>
      <x:c r="E548" t="str">
        <x:v>VRNeu51/2</x:v>
      </x:c>
      <x:c r="F548" t="str">
        <x:v>Clara Melot 2023_296</x:v>
      </x:c>
      <x:c r="G548" s="6" t="n">
        <x:v>0</x:v>
      </x:c>
      <x:c r="H548" s="6" t="n">
        <x:v>218</x:v>
      </x:c>
      <x:c r="I548" s="6" t="n">
        <x:f>G548-H548</x:f>
        <x:v>-218</x:v>
      </x:c>
      <x:c r="J548" t="str">
        <x:v>20230101_3125</x:v>
      </x:c>
    </x:row>
    <x:row r="549">
      <x:c r="A549" t="n">
        <x:v>1403</x:v>
      </x:c>
      <x:c r="B549" t="n">
        <x:v>11200</x:v>
      </x:c>
      <x:c r="C549" s="8" t="n">
        <x:v>45111.5</x:v>
      </x:c>
      <x:c r="D549" t="str">
        <x:v>VRNeu52/2</x:v>
      </x:c>
      <x:c r="E549" t="str">
        <x:v>VRNeu52/2</x:v>
      </x:c>
      <x:c r="F549" t="str">
        <x:v>Mohn 2023 230</x:v>
      </x:c>
      <x:c r="G549" s="6" t="n">
        <x:v>0</x:v>
      </x:c>
      <x:c r="H549" s="6" t="n">
        <x:v>2496</x:v>
      </x:c>
      <x:c r="I549" s="6" t="n">
        <x:f>G549-H549</x:f>
        <x:v>-2496</x:v>
      </x:c>
      <x:c r="J549" t="str">
        <x:v>20230101_3186</x:v>
      </x:c>
    </x:row>
    <x:row r="550">
      <x:c r="A550" t="n">
        <x:v>1404</x:v>
      </x:c>
      <x:c r="B550" t="n">
        <x:v>11200</x:v>
      </x:c>
      <x:c r="C550" s="8" t="n">
        <x:v>45128.5</x:v>
      </x:c>
      <x:c r="D550" t="str">
        <x:v>VRNeu56/2</x:v>
      </x:c>
      <x:c r="E550" t="str">
        <x:v>VRNeu56/2</x:v>
      </x:c>
      <x:c r="F550" t="str">
        <x:v>Münder Nils  2023-320</x:v>
      </x:c>
      <x:c r="G550" s="6" t="n">
        <x:v>0</x:v>
      </x:c>
      <x:c r="H550" s="6" t="n">
        <x:v>370</x:v>
      </x:c>
      <x:c r="I550" s="6" t="n">
        <x:f>G550-H550</x:f>
        <x:v>-370</x:v>
      </x:c>
      <x:c r="J550" t="str">
        <x:v>20230101_3248</x:v>
      </x:c>
    </x:row>
    <x:row r="551">
      <x:c r="A551" t="n">
        <x:v>1405</x:v>
      </x:c>
      <x:c r="B551" t="n">
        <x:v>11200</x:v>
      </x:c>
      <x:c r="C551" s="8" t="n">
        <x:v>45128.5</x:v>
      </x:c>
      <x:c r="D551" t="str">
        <x:v>VRNeu56/2</x:v>
      </x:c>
      <x:c r="E551" t="str">
        <x:v>VRNeu56/2</x:v>
      </x:c>
      <x:c r="F551" t="str">
        <x:v>Münder Nils  2023-319</x:v>
      </x:c>
      <x:c r="G551" s="6" t="n">
        <x:v>0</x:v>
      </x:c>
      <x:c r="H551" s="6" t="n">
        <x:v>388</x:v>
      </x:c>
      <x:c r="I551" s="6" t="n">
        <x:f>G551-H551</x:f>
        <x:v>-388</x:v>
      </x:c>
      <x:c r="J551" t="str">
        <x:v>20230101_3249</x:v>
      </x:c>
    </x:row>
    <x:row r="552">
      <x:c r="A552" t="n">
        <x:v>1406</x:v>
      </x:c>
      <x:c r="B552" t="n">
        <x:v>11200</x:v>
      </x:c>
      <x:c r="C552" s="8" t="n">
        <x:v>45220.5</x:v>
      </x:c>
      <x:c r="D552" t="str">
        <x:v>VRNeu56/2</x:v>
      </x:c>
      <x:c r="E552" t="str">
        <x:v>VRNeu56/2</x:v>
      </x:c>
      <x:c r="F552" t="str">
        <x:v>Münder Nils  2023-320</x:v>
      </x:c>
      <x:c r="G552" s="6" t="n">
        <x:v>0</x:v>
      </x:c>
      <x:c r="H552" s="6" t="n">
        <x:v>370</x:v>
      </x:c>
      <x:c r="I552" s="6" t="n">
        <x:f>G552-H552</x:f>
        <x:v>-370</x:v>
      </x:c>
      <x:c r="J552" t="str">
        <x:v>20230101_3409</x:v>
      </x:c>
    </x:row>
    <x:row r="553">
      <x:c r="A553" t="n">
        <x:v>1407</x:v>
      </x:c>
      <x:c r="B553" t="n">
        <x:v>11200</x:v>
      </x:c>
      <x:c r="C553" s="8" t="n">
        <x:v>45220.5</x:v>
      </x:c>
      <x:c r="D553" t="str">
        <x:v>VRNeu56/2</x:v>
      </x:c>
      <x:c r="E553" t="str">
        <x:v>VRNeu56/2</x:v>
      </x:c>
      <x:c r="F553" t="str">
        <x:v>Münder Nils  2023-319</x:v>
      </x:c>
      <x:c r="G553" s="6" t="n">
        <x:v>0</x:v>
      </x:c>
      <x:c r="H553" s="6" t="n">
        <x:v>388</x:v>
      </x:c>
      <x:c r="I553" s="6" t="n">
        <x:f>G553-H553</x:f>
        <x:v>-388</x:v>
      </x:c>
      <x:c r="J553" t="str">
        <x:v>20230101_3410</x:v>
      </x:c>
    </x:row>
    <x:row r="554">
      <x:c r="A554" t="n">
        <x:v>1408</x:v>
      </x:c>
      <x:c r="B554" t="n">
        <x:v>11200</x:v>
      </x:c>
      <x:c r="C554" s="8" t="n">
        <x:v>45220.5</x:v>
      </x:c>
      <x:c r="D554" t="str">
        <x:v>VRNeu56/2</x:v>
      </x:c>
      <x:c r="E554" t="str">
        <x:v>VRNeu56/2</x:v>
      </x:c>
      <x:c r="F554" t="str">
        <x:v>&lt;Storno&gt; Münder Nils  2023-320</x:v>
      </x:c>
      <x:c r="G554" s="6" t="n">
        <x:v>0</x:v>
      </x:c>
      <x:c r="H554" s="6" t="n">
        <x:v>-370</x:v>
      </x:c>
      <x:c r="I554" s="6" t="n">
        <x:f>G554-H554</x:f>
        <x:v>370</x:v>
      </x:c>
      <x:c r="J554" t="str">
        <x:v>20230101_3416</x:v>
      </x:c>
    </x:row>
    <x:row r="555">
      <x:c r="A555" t="n">
        <x:v>1409</x:v>
      </x:c>
      <x:c r="B555" t="n">
        <x:v>11200</x:v>
      </x:c>
      <x:c r="C555" s="8" t="n">
        <x:v>45220.5</x:v>
      </x:c>
      <x:c r="D555" t="str">
        <x:v>VRNeu56/2</x:v>
      </x:c>
      <x:c r="E555" t="str">
        <x:v>VRNeu56/2</x:v>
      </x:c>
      <x:c r="F555" t="str">
        <x:v>&lt;Storno&gt; Münder Nils  2023-319</x:v>
      </x:c>
      <x:c r="G555" s="6" t="n">
        <x:v>0</x:v>
      </x:c>
      <x:c r="H555" s="6" t="n">
        <x:v>-388</x:v>
      </x:c>
      <x:c r="I555" s="6" t="n">
        <x:f>G555-H555</x:f>
        <x:v>388</x:v>
      </x:c>
      <x:c r="J555" t="str">
        <x:v>20230101_3417</x:v>
      </x:c>
    </x:row>
    <x:row r="556">
      <x:c r="A556" t="n">
        <x:v>1410</x:v>
      </x:c>
      <x:c r="B556" t="n">
        <x:v>11200</x:v>
      </x:c>
      <x:c r="C556" s="8" t="n">
        <x:v>44960.5</x:v>
      </x:c>
      <x:c r="D556" t="str">
        <x:v>VRNeu6/3</x:v>
      </x:c>
      <x:c r="E556" t="str">
        <x:v>VRNeu6/3</x:v>
      </x:c>
      <x:c r="F556" t="str">
        <x:v>Gerhard Wiesen 2023-113</x:v>
      </x:c>
      <x:c r="G556" s="6" t="n">
        <x:v>0</x:v>
      </x:c>
      <x:c r="H556" s="6" t="n">
        <x:v>1295</x:v>
      </x:c>
      <x:c r="I556" s="6" t="n">
        <x:f>G556-H556</x:f>
        <x:v>-1295</x:v>
      </x:c>
      <x:c r="J556" t="str">
        <x:v>20230101_2547</x:v>
      </x:c>
    </x:row>
    <x:row r="557">
      <x:c r="A557" t="n">
        <x:v>1411</x:v>
      </x:c>
      <x:c r="B557" t="n">
        <x:v>11200</x:v>
      </x:c>
      <x:c r="C557" s="8" t="n">
        <x:v>45138.5</x:v>
      </x:c>
      <x:c r="D557" t="str">
        <x:v>VRNeu60/1</x:v>
      </x:c>
      <x:c r="E557" t="str">
        <x:v>VRNeu60/1</x:v>
      </x:c>
      <x:c r="F557" t="str">
        <x:v>M P Melot  2023-296</x:v>
      </x:c>
      <x:c r="G557" s="6" t="n">
        <x:v>0</x:v>
      </x:c>
      <x:c r="H557" s="6" t="n">
        <x:v>872</x:v>
      </x:c>
      <x:c r="I557" s="6" t="n">
        <x:f>G557-H557</x:f>
        <x:v>-872</x:v>
      </x:c>
      <x:c r="J557" t="str">
        <x:v>20230101_3277</x:v>
      </x:c>
    </x:row>
    <x:row r="558">
      <x:c r="A558" t="n">
        <x:v>1412</x:v>
      </x:c>
      <x:c r="B558" t="n">
        <x:v>11200</x:v>
      </x:c>
      <x:c r="C558" s="8" t="n">
        <x:v>45141.5</x:v>
      </x:c>
      <x:c r="D558" t="str">
        <x:v>VRNeu60/4</x:v>
      </x:c>
      <x:c r="E558" t="str">
        <x:v>VRNeu60/4</x:v>
      </x:c>
      <x:c r="F558" t="str">
        <x:v>Münder 2023-318</x:v>
      </x:c>
      <x:c r="G558" s="6" t="n">
        <x:v>0</x:v>
      </x:c>
      <x:c r="H558" s="6" t="n">
        <x:v>6210</x:v>
      </x:c>
      <x:c r="I558" s="6" t="n">
        <x:f>G558-H558</x:f>
        <x:v>-6210</x:v>
      </x:c>
      <x:c r="J558" t="str">
        <x:v>20230101_3287</x:v>
      </x:c>
    </x:row>
    <x:row r="559">
      <x:c r="A559" t="n">
        <x:v>1413</x:v>
      </x:c>
      <x:c r="B559" t="n">
        <x:v>11200</x:v>
      </x:c>
      <x:c r="C559" s="8" t="n">
        <x:v>44973.5</x:v>
      </x:c>
      <x:c r="D559" t="str">
        <x:v>VRNeu9/1</x:v>
      </x:c>
      <x:c r="E559" t="str">
        <x:v>VRNeu9/1</x:v>
      </x:c>
      <x:c r="F559" t="str">
        <x:v>Mia Meisterknecht 2023-122</x:v>
      </x:c>
      <x:c r="G559" s="6" t="n">
        <x:v>0</x:v>
      </x:c>
      <x:c r="H559" s="6" t="n">
        <x:v>318</x:v>
      </x:c>
      <x:c r="I559" s="6" t="n">
        <x:f>G559-H559</x:f>
        <x:v>-318</x:v>
      </x:c>
      <x:c r="J559" t="str">
        <x:v>20230101_2581</x:v>
      </x:c>
    </x:row>
    <x:row r="560">
      <x:c r="A560" t="n">
        <x:v>1414</x:v>
      </x:c>
      <x:c r="B560" t="n">
        <x:v>11200</x:v>
      </x:c>
      <x:c r="C560" s="8" t="n">
        <x:v>44974.5</x:v>
      </x:c>
      <x:c r="D560" t="str">
        <x:v>VRNeu9/1</x:v>
      </x:c>
      <x:c r="E560" t="str">
        <x:v>VRNeu9/1</x:v>
      </x:c>
      <x:c r="F560" t="str">
        <x:v>MR Ou MME Claude Chzanal 2023-138</x:v>
      </x:c>
      <x:c r="G560" s="6" t="n">
        <x:v>0</x:v>
      </x:c>
      <x:c r="H560" s="6" t="n">
        <x:v>246</x:v>
      </x:c>
      <x:c r="I560" s="6" t="n">
        <x:f>G560-H560</x:f>
        <x:v>-246</x:v>
      </x:c>
      <x:c r="J560" t="str">
        <x:v>20230101_2583</x:v>
      </x:c>
    </x:row>
    <x:row r="561">
      <x:c r="A561" t="n">
        <x:v>1415</x:v>
      </x:c>
      <x:c r="B561" t="n">
        <x:v>11200</x:v>
      </x:c>
      <x:c r="C561" s="8" t="n">
        <x:v>44974.5</x:v>
      </x:c>
      <x:c r="D561" t="str">
        <x:v>VRNeu9/3</x:v>
      </x:c>
      <x:c r="E561" t="str">
        <x:v>VRNeu9/3</x:v>
      </x:c>
      <x:c r="F561" t="str">
        <x:v>Fine Carlotta Missfeldt 2023-135</x:v>
      </x:c>
      <x:c r="G561" s="6" t="n">
        <x:v>0</x:v>
      </x:c>
      <x:c r="H561" s="6" t="n">
        <x:v>176</x:v>
      </x:c>
      <x:c r="I561" s="6" t="n">
        <x:f>G561-H561</x:f>
        <x:v>-176</x:v>
      </x:c>
      <x:c r="J561" t="str">
        <x:v>20230101_2584</x:v>
      </x:c>
    </x:row>
    <x:row r="562">
      <x:c r="A562" t="n">
        <x:v>1431</x:v>
      </x:c>
      <x:c r="B562" t="n">
        <x:v>11400</x:v>
      </x:c>
      <x:c r="C562" s="8" t="n">
        <x:v>44928.5</x:v>
      </x:c>
      <x:c r="D562" t="str">
        <x:v>102</x:v>
      </x:c>
      <x:c r="E562" t="str">
        <x:v>102</x:v>
      </x:c>
      <x:c r="F562" t="str">
        <x:v>Ourrami ecuador</x:v>
      </x:c>
      <x:c r="G562" s="6" t="n">
        <x:v>668</x:v>
      </x:c>
      <x:c r="H562" s="6" t="n">
        <x:v>0</x:v>
      </x:c>
      <x:c r="I562" s="6" t="n">
        <x:f>G562-H562</x:f>
        <x:v>668</x:v>
      </x:c>
      <x:c r="J562" t="str">
        <x:v>20230101_2494</x:v>
      </x:c>
    </x:row>
    <x:row r="563">
      <x:c r="A563" t="n">
        <x:v>1438</x:v>
      </x:c>
      <x:c r="B563" t="n">
        <x:v>11400</x:v>
      </x:c>
      <x:c r="C563" s="8" t="n">
        <x:v>45029.5</x:v>
      </x:c>
      <x:c r="D563" t="str">
        <x:v>2023%242</x:v>
      </x:c>
      <x:c r="E563" t="str">
        <x:v>2023%242</x:v>
      </x:c>
      <x:c r="F563" t="str">
        <x:v>Julius Odendah</x:v>
      </x:c>
      <x:c r="G563" s="6" t="n">
        <x:v>4059</x:v>
      </x:c>
      <x:c r="H563" s="6" t="n">
        <x:v>0</x:v>
      </x:c>
      <x:c r="I563" s="6" t="n">
        <x:f>G563-H563</x:f>
        <x:v>4059</x:v>
      </x:c>
      <x:c r="J563" t="str">
        <x:v>20230101_2812</x:v>
      </x:c>
    </x:row>
    <x:row r="564">
      <x:c r="A564" t="n">
        <x:v>1439</x:v>
      </x:c>
      <x:c r="B564" t="n">
        <x:v>11400</x:v>
      </x:c>
      <x:c r="C564" s="8" t="n">
        <x:v>45091.5</x:v>
      </x:c>
      <x:c r="D564" t="str">
        <x:v>2023%305</x:v>
      </x:c>
      <x:c r="E564" t="str">
        <x:v>2023%305</x:v>
      </x:c>
      <x:c r="F564" t="str">
        <x:v>Katharina Ortner</x:v>
      </x:c>
      <x:c r="G564" s="6" t="n">
        <x:v>11050</x:v>
      </x:c>
      <x:c r="H564" s="6" t="n">
        <x:v>0</x:v>
      </x:c>
      <x:c r="I564" s="6" t="n">
        <x:f>G564-H564</x:f>
        <x:v>11050</x:v>
      </x:c>
      <x:c r="J564" t="str">
        <x:v>20230101_3097</x:v>
      </x:c>
    </x:row>
    <x:row r="565">
      <x:c r="A565" t="n">
        <x:v>1440</x:v>
      </x:c>
      <x:c r="B565" t="n">
        <x:v>11400</x:v>
      </x:c>
      <x:c r="C565" s="8" t="n">
        <x:v>45125.5</x:v>
      </x:c>
      <x:c r="D565" t="str">
        <x:v>2023%359</x:v>
      </x:c>
      <x:c r="E565" t="str">
        <x:v>2023%359</x:v>
      </x:c>
      <x:c r="F565" t="str">
        <x:v>O'Hara</x:v>
      </x:c>
      <x:c r="G565" s="6" t="n">
        <x:v>250</x:v>
      </x:c>
      <x:c r="H565" s="6" t="n">
        <x:v>0</x:v>
      </x:c>
      <x:c r="I565" s="6" t="n">
        <x:f>G565-H565</x:f>
        <x:v>250</x:v>
      </x:c>
      <x:c r="J565" t="str">
        <x:v>20230101_3220</x:v>
      </x:c>
    </x:row>
    <x:row r="566">
      <x:c r="A566" t="n">
        <x:v>1444</x:v>
      </x:c>
      <x:c r="B566" t="n">
        <x:v>11400</x:v>
      </x:c>
      <x:c r="C566" s="8" t="n">
        <x:v>45051.5</x:v>
      </x:c>
      <x:c r="D566" t="str">
        <x:v>VRNeu37/1</x:v>
      </x:c>
      <x:c r="E566" t="str">
        <x:v>VRNeu37/1</x:v>
      </x:c>
      <x:c r="F566" t="str">
        <x:v>Odendahl 2023_242</x:v>
      </x:c>
      <x:c r="G566" s="6" t="n">
        <x:v>0</x:v>
      </x:c>
      <x:c r="H566" s="6" t="n">
        <x:v>811.8</x:v>
      </x:c>
      <x:c r="I566" s="6" t="n">
        <x:f>G566-H566</x:f>
        <x:v>-811.8</x:v>
      </x:c>
      <x:c r="J566" t="str">
        <x:v>20230101_2943</x:v>
      </x:c>
    </x:row>
    <x:row r="567">
      <x:c r="A567" t="n">
        <x:v>1445</x:v>
      </x:c>
      <x:c r="B567" t="n">
        <x:v>11400</x:v>
      </x:c>
      <x:c r="C567" s="8" t="n">
        <x:v>45099.5</x:v>
      </x:c>
      <x:c r="D567" t="str">
        <x:v>VRNeu51/2</x:v>
      </x:c>
      <x:c r="E567" t="str">
        <x:v>VRNeu51/2</x:v>
      </x:c>
      <x:c r="F567" t="str">
        <x:v>Katharina Ortner 2023_305</x:v>
      </x:c>
      <x:c r="G567" s="6" t="n">
        <x:v>0</x:v>
      </x:c>
      <x:c r="H567" s="6" t="n">
        <x:v>2210</x:v>
      </x:c>
      <x:c r="I567" s="6" t="n">
        <x:f>G567-H567</x:f>
        <x:v>-2210</x:v>
      </x:c>
      <x:c r="J567" t="str">
        <x:v>20230101_3131</x:v>
      </x:c>
    </x:row>
    <x:row r="568">
      <x:c r="A568" t="n">
        <x:v>1446</x:v>
      </x:c>
      <x:c r="B568" t="n">
        <x:v>11400</x:v>
      </x:c>
      <x:c r="C568" s="8" t="n">
        <x:v>45175.5</x:v>
      </x:c>
      <x:c r="D568" t="str">
        <x:v>VRNeu68/2</x:v>
      </x:c>
      <x:c r="E568" t="str">
        <x:v>VRNeu68/2</x:v>
      </x:c>
      <x:c r="F568" t="str">
        <x:v>Lazra O'Hara</x:v>
      </x:c>
      <x:c r="G568" s="6" t="n">
        <x:v>0</x:v>
      </x:c>
      <x:c r="H568" s="6" t="n">
        <x:v>211.55</x:v>
      </x:c>
      <x:c r="I568" s="6" t="n">
        <x:f>G568-H568</x:f>
        <x:v>-211.55</x:v>
      </x:c>
      <x:c r="J568" t="str">
        <x:v>20230101_3339</x:v>
      </x:c>
    </x:row>
    <x:row r="569">
      <x:c r="A569" t="n">
        <x:v>1447</x:v>
      </x:c>
      <x:c r="B569" t="n">
        <x:v>11400</x:v>
      </x:c>
      <x:c r="C569" s="8" t="n">
        <x:v>45176.5</x:v>
      </x:c>
      <x:c r="D569" t="str">
        <x:v>VRNeu69</x:v>
      </x:c>
      <x:c r="E569" t="str">
        <x:v>VRNeu69</x:v>
      </x:c>
      <x:c r="F569" t="str">
        <x:v>Ortner 2023-305</x:v>
      </x:c>
      <x:c r="G569" s="6" t="n">
        <x:v>0</x:v>
      </x:c>
      <x:c r="H569" s="6" t="n">
        <x:v>2210</x:v>
      </x:c>
      <x:c r="I569" s="6" t="n">
        <x:f>G569-H569</x:f>
        <x:v>-2210</x:v>
      </x:c>
      <x:c r="J569" t="str">
        <x:v>20230101_3347</x:v>
      </x:c>
    </x:row>
    <x:row r="570">
      <x:c r="A570" t="n">
        <x:v>1448</x:v>
      </x:c>
      <x:c r="B570" t="n">
        <x:v>11400</x:v>
      </x:c>
      <x:c r="C570" s="8" t="n">
        <x:v>45184.5</x:v>
      </x:c>
      <x:c r="D570" t="str">
        <x:v>VRNeu72/1</x:v>
      </x:c>
      <x:c r="E570" t="str">
        <x:v>VRNeu72/1</x:v>
      </x:c>
      <x:c r="F570" t="str">
        <x:v>Odendahl 2023-242</x:v>
      </x:c>
      <x:c r="G570" s="6" t="n">
        <x:v>0</x:v>
      </x:c>
      <x:c r="H570" s="6" t="n">
        <x:v>3247.2</x:v>
      </x:c>
      <x:c r="I570" s="6" t="n">
        <x:f>G570-H570</x:f>
        <x:v>-3247.2</x:v>
      </x:c>
      <x:c r="J570" t="str">
        <x:v>20230101_3360</x:v>
      </x:c>
    </x:row>
    <x:row r="571">
      <x:c r="A571" t="n">
        <x:v>1449</x:v>
      </x:c>
      <x:c r="B571" t="n">
        <x:v>11400</x:v>
      </x:c>
      <x:c r="C571" s="8" t="n">
        <x:v>45271.5</x:v>
      </x:c>
      <x:c r="D571" t="str">
        <x:v>VRNeu95/2</x:v>
      </x:c>
      <x:c r="E571" t="str">
        <x:v>VRNeu95/2</x:v>
      </x:c>
      <x:c r="F571" t="str">
        <x:v>Ortner 2023_305</x:v>
      </x:c>
      <x:c r="G571" s="6" t="n">
        <x:v>0</x:v>
      </x:c>
      <x:c r="H571" s="6" t="n">
        <x:v>6630</x:v>
      </x:c>
      <x:c r="I571" s="6" t="n">
        <x:f>G571-H571</x:f>
        <x:v>-6630</x:v>
      </x:c>
      <x:c r="J571" t="str">
        <x:v>20230101_3506</x:v>
      </x:c>
    </x:row>
    <x:row r="572">
      <x:c r="A572" t="n">
        <x:v>1450</x:v>
      </x:c>
      <x:c r="B572" t="n">
        <x:v>11500</x:v>
      </x:c>
      <x:c r="C572" s="8" t="n">
        <x:v>44927.5</x:v>
      </x:c>
      <x:c r="D572" t="str">
        <x:v>58</x:v>
      </x:c>
      <x:c r="E572" t="str">
        <x:v>58</x:v>
      </x:c>
      <x:c r="F572" t="str">
        <x:v>peysson</x:v>
      </x:c>
      <x:c r="G572" s="6" t="n">
        <x:v>0</x:v>
      </x:c>
      <x:c r="H572" s="6" t="n">
        <x:v>578</x:v>
      </x:c>
      <x:c r="I572" s="6" t="n">
        <x:f>G572-H572</x:f>
        <x:v>-578</x:v>
      </x:c>
      <x:c r="J572" t="str">
        <x:v>20230101_2468</x:v>
      </x:c>
    </x:row>
    <x:row r="573">
      <x:c r="A573" t="n">
        <x:v>1451</x:v>
      </x:c>
      <x:c r="B573" t="n">
        <x:v>11500</x:v>
      </x:c>
      <x:c r="C573" s="8" t="n">
        <x:v>44937.5</x:v>
      </x:c>
      <x:c r="D573" t="str">
        <x:v>111</x:v>
      </x:c>
      <x:c r="E573" t="str">
        <x:v>111</x:v>
      </x:c>
      <x:c r="F573" t="str">
        <x:v>polanetzki costa rica</x:v>
      </x:c>
      <x:c r="G573" s="6" t="n">
        <x:v>995</x:v>
      </x:c>
      <x:c r="H573" s="6" t="n">
        <x:v>0</x:v>
      </x:c>
      <x:c r="I573" s="6" t="n">
        <x:f>G573-H573</x:f>
        <x:v>995</x:v>
      </x:c>
      <x:c r="J573" t="str">
        <x:v>20230101_2510</x:v>
      </x:c>
    </x:row>
    <x:row r="574">
      <x:c r="A574" t="n">
        <x:v>1452</x:v>
      </x:c>
      <x:c r="B574" t="n">
        <x:v>11500</x:v>
      </x:c>
      <x:c r="C574" s="8" t="n">
        <x:v>44998.5</x:v>
      </x:c>
      <x:c r="D574" t="str">
        <x:v>187</x:v>
      </x:c>
      <x:c r="E574" t="str">
        <x:v>187</x:v>
      </x:c>
      <x:c r="F574" t="str">
        <x:v>Pounder, Greece</x:v>
      </x:c>
      <x:c r="G574" s="6" t="n">
        <x:v>234</x:v>
      </x:c>
      <x:c r="H574" s="6" t="n">
        <x:v>0</x:v>
      </x:c>
      <x:c r="I574" s="6" t="n">
        <x:f>G574-H574</x:f>
        <x:v>234</x:v>
      </x:c>
      <x:c r="J574" t="str">
        <x:v>20230101_2668</x:v>
      </x:c>
    </x:row>
    <x:row r="575">
      <x:c r="A575" t="n">
        <x:v>1453</x:v>
      </x:c>
      <x:c r="B575" t="n">
        <x:v>11500</x:v>
      </x:c>
      <x:c r="C575" s="8" t="n">
        <x:v>45000.5</x:v>
      </x:c>
      <x:c r="D575" t="str">
        <x:v>193</x:v>
      </x:c>
      <x:c r="E575" t="str">
        <x:v>193</x:v>
      </x:c>
      <x:c r="F575" t="str">
        <x:v>Popp, Costa Rica</x:v>
      </x:c>
      <x:c r="G575" s="6" t="n">
        <x:v>2740</x:v>
      </x:c>
      <x:c r="H575" s="6" t="n">
        <x:v>0</x:v>
      </x:c>
      <x:c r="I575" s="6" t="n">
        <x:f>G575-H575</x:f>
        <x:v>2740</x:v>
      </x:c>
      <x:c r="J575" t="str">
        <x:v>20230101_2681</x:v>
      </x:c>
    </x:row>
    <x:row r="576">
      <x:c r="A576" t="n">
        <x:v>1454</x:v>
      </x:c>
      <x:c r="B576" t="n">
        <x:v>11500</x:v>
      </x:c>
      <x:c r="C576" s="8" t="n">
        <x:v>45009.5</x:v>
      </x:c>
      <x:c r="D576" t="str">
        <x:v>211</x:v>
      </x:c>
      <x:c r="E576" t="str">
        <x:v>211</x:v>
      </x:c>
      <x:c r="F576" t="str">
        <x:v>Plehn, Greece</x:v>
      </x:c>
      <x:c r="G576" s="6" t="n">
        <x:v>188</x:v>
      </x:c>
      <x:c r="H576" s="6" t="n">
        <x:v>0</x:v>
      </x:c>
      <x:c r="I576" s="6" t="n">
        <x:f>G576-H576</x:f>
        <x:v>188</x:v>
      </x:c>
      <x:c r="J576" t="str">
        <x:v>20230101_2719</x:v>
      </x:c>
    </x:row>
    <x:row r="577">
      <x:c r="A577" t="n">
        <x:v>1455</x:v>
      </x:c>
      <x:c r="B577" t="n">
        <x:v>11500</x:v>
      </x:c>
      <x:c r="C577" s="8" t="n">
        <x:v>45012.5</x:v>
      </x:c>
      <x:c r="D577" t="str">
        <x:v>213</x:v>
      </x:c>
      <x:c r="E577" t="str">
        <x:v>213</x:v>
      </x:c>
      <x:c r="F577" t="str">
        <x:v>Pracht, Costa Rica</x:v>
      </x:c>
      <x:c r="G577" s="6" t="n">
        <x:v>2400</x:v>
      </x:c>
      <x:c r="H577" s="6" t="n">
        <x:v>0</x:v>
      </x:c>
      <x:c r="I577" s="6" t="n">
        <x:f>G577-H577</x:f>
        <x:v>2400</x:v>
      </x:c>
      <x:c r="J577" t="str">
        <x:v>20230101_2724</x:v>
      </x:c>
    </x:row>
    <x:row r="578">
      <x:c r="A578" t="n">
        <x:v>1456</x:v>
      </x:c>
      <x:c r="B578" t="n">
        <x:v>11500</x:v>
      </x:c>
      <x:c r="C578" s="8" t="n">
        <x:v>44927.5</x:v>
      </x:c>
      <x:c r="D578" t="str">
        <x:v>217</x:v>
      </x:c>
      <x:c r="E578" t="str">
        <x:v>217</x:v>
      </x:c>
      <x:c r="F578" t="str">
        <x:v>pawlowski</x:v>
      </x:c>
      <x:c r="G578" s="6" t="n">
        <x:v>0</x:v>
      </x:c>
      <x:c r="H578" s="6" t="n">
        <x:v>16</x:v>
      </x:c>
      <x:c r="I578" s="6" t="n">
        <x:f>G578-H578</x:f>
        <x:v>-16</x:v>
      </x:c>
      <x:c r="J578" t="str">
        <x:v>20230101_2469</x:v>
      </x:c>
    </x:row>
    <x:row r="579">
      <x:c r="A579" t="n">
        <x:v>1457</x:v>
      </x:c>
      <x:c r="B579" t="n">
        <x:v>11500</x:v>
      </x:c>
      <x:c r="C579" s="8" t="n">
        <x:v>44927.5</x:v>
      </x:c>
      <x:c r="D579" t="str">
        <x:v>252</x:v>
      </x:c>
      <x:c r="E579" t="str">
        <x:v>252</x:v>
      </x:c>
      <x:c r="F579" t="str">
        <x:v>Vortragsaktualisierung</x:v>
      </x:c>
      <x:c r="G579" s="6" t="n">
        <x:v>1408</x:v>
      </x:c>
      <x:c r="H579" s="6" t="n">
        <x:v>0</x:v>
      </x:c>
      <x:c r="I579" s="6" t="n">
        <x:f>G579-H579</x:f>
        <x:v>1408</x:v>
      </x:c>
      <x:c r="J579" t="str">
        <x:v>20230101_2430</x:v>
      </x:c>
    </x:row>
    <x:row r="580">
      <x:c r="A580" t="n">
        <x:v>1458</x:v>
      </x:c>
      <x:c r="B580" t="n">
        <x:v>11500</x:v>
      </x:c>
      <x:c r="C580" s="8" t="n">
        <x:v>45022.5</x:v>
      </x:c>
      <x:c r="D580" t="str">
        <x:v>2023%231</x:v>
      </x:c>
      <x:c r="E580" t="str">
        <x:v>2023%231</x:v>
      </x:c>
      <x:c r="F580" t="str">
        <x:v>Laura Penert</x:v>
      </x:c>
      <x:c r="G580" s="6" t="n">
        <x:v>2599</x:v>
      </x:c>
      <x:c r="H580" s="6" t="n">
        <x:v>0</x:v>
      </x:c>
      <x:c r="I580" s="6" t="n">
        <x:f>G580-H580</x:f>
        <x:v>2599</x:v>
      </x:c>
      <x:c r="J580" t="str">
        <x:v>20230101_2783</x:v>
      </x:c>
    </x:row>
    <x:row r="581">
      <x:c r="A581" t="n">
        <x:v>1459</x:v>
      </x:c>
      <x:c r="B581" t="n">
        <x:v>11500</x:v>
      </x:c>
      <x:c r="C581" s="8" t="n">
        <x:v>45022.5</x:v>
      </x:c>
      <x:c r="D581" t="str">
        <x:v>2023%235</x:v>
      </x:c>
      <x:c r="E581" t="str">
        <x:v>2023%235</x:v>
      </x:c>
      <x:c r="F581" t="str">
        <x:v>Emily Fulcher</x:v>
      </x:c>
      <x:c r="G581" s="6" t="n">
        <x:v>440</x:v>
      </x:c>
      <x:c r="H581" s="6" t="n">
        <x:v>0</x:v>
      </x:c>
      <x:c r="I581" s="6" t="n">
        <x:f>G581-H581</x:f>
        <x:v>440</x:v>
      </x:c>
      <x:c r="J581" t="str">
        <x:v>20230101_2777</x:v>
      </x:c>
    </x:row>
    <x:row r="582">
      <x:c r="A582" t="n">
        <x:v>1470</x:v>
      </x:c>
      <x:c r="B582" t="n">
        <x:v>11500</x:v>
      </x:c>
      <x:c r="C582" s="8" t="n">
        <x:v>45084.5</x:v>
      </x:c>
      <x:c r="D582" t="str">
        <x:v>2023%292</x:v>
      </x:c>
      <x:c r="E582" t="str">
        <x:v>2023%292</x:v>
      </x:c>
      <x:c r="F582" t="str">
        <x:v>Irene Pittiglio</x:v>
      </x:c>
      <x:c r="G582" s="6" t="n">
        <x:v>609</x:v>
      </x:c>
      <x:c r="H582" s="6" t="n">
        <x:v>0</x:v>
      </x:c>
      <x:c r="I582" s="6" t="n">
        <x:f>G582-H582</x:f>
        <x:v>609</x:v>
      </x:c>
      <x:c r="J582" t="str">
        <x:v>20230101_3049</x:v>
      </x:c>
    </x:row>
    <x:row r="583">
      <x:c r="A583" t="n">
        <x:v>1471</x:v>
      </x:c>
      <x:c r="B583" t="n">
        <x:v>11500</x:v>
      </x:c>
      <x:c r="C583" s="8" t="n">
        <x:v>45240.5</x:v>
      </x:c>
      <x:c r="D583" t="str">
        <x:v>2023%386</x:v>
      </x:c>
      <x:c r="E583" t="str">
        <x:v>2023%386</x:v>
      </x:c>
      <x:c r="F583" t="str">
        <x:v>Paulhofer</x:v>
      </x:c>
      <x:c r="G583" s="6" t="n">
        <x:v>1715</x:v>
      </x:c>
      <x:c r="H583" s="6" t="n">
        <x:v>0</x:v>
      </x:c>
      <x:c r="I583" s="6" t="n">
        <x:f>G583-H583</x:f>
        <x:v>1715</x:v>
      </x:c>
      <x:c r="J583" t="str">
        <x:v>20230101_3445</x:v>
      </x:c>
    </x:row>
    <x:row r="584">
      <x:c r="A584" t="n">
        <x:v>1472</x:v>
      </x:c>
      <x:c r="B584" t="n">
        <x:v>11500</x:v>
      </x:c>
      <x:c r="C584" s="8" t="n">
        <x:v>44930.5</x:v>
      </x:c>
      <x:c r="D584" t="str">
        <x:v>VRNeu1/2</x:v>
      </x:c>
      <x:c r="E584" t="str">
        <x:v>VRNeu1/2</x:v>
      </x:c>
      <x:c r="F584" t="str">
        <x:v>Priska Pawlowski</x:v>
      </x:c>
      <x:c r="G584" s="6" t="n">
        <x:v>0</x:v>
      </x:c>
      <x:c r="H584" s="6" t="n">
        <x:v>664</x:v>
      </x:c>
      <x:c r="I584" s="6" t="n">
        <x:f>G584-H584</x:f>
        <x:v>-664</x:v>
      </x:c>
      <x:c r="J584" t="str">
        <x:v>20230101_2495</x:v>
      </x:c>
    </x:row>
    <x:row r="585">
      <x:c r="A585" t="n">
        <x:v>1473</x:v>
      </x:c>
      <x:c r="B585" t="n">
        <x:v>11500</x:v>
      </x:c>
      <x:c r="C585" s="8" t="n">
        <x:v>44995.5</x:v>
      </x:c>
      <x:c r="D585" t="str">
        <x:v>VRNeu16/2</x:v>
      </x:c>
      <x:c r="E585" t="str">
        <x:v>VRNeu16/2</x:v>
      </x:c>
      <x:c r="F585" t="str">
        <x:v>Priska Pawlowski 2022-217</x:v>
      </x:c>
      <x:c r="G585" s="6" t="n">
        <x:v>0</x:v>
      </x:c>
      <x:c r="H585" s="6" t="n">
        <x:v>150</x:v>
      </x:c>
      <x:c r="I585" s="6" t="n">
        <x:f>G585-H585</x:f>
        <x:v>-150</x:v>
      </x:c>
      <x:c r="J585" t="str">
        <x:v>20230101_2663</x:v>
      </x:c>
    </x:row>
    <x:row r="586">
      <x:c r="A586" t="n">
        <x:v>1474</x:v>
      </x:c>
      <x:c r="B586" t="n">
        <x:v>11500</x:v>
      </x:c>
      <x:c r="C586" s="8" t="n">
        <x:v>45009.5</x:v>
      </x:c>
      <x:c r="D586" t="str">
        <x:v>VRNeu21/2</x:v>
      </x:c>
      <x:c r="E586" t="str">
        <x:v>VRNeu21/2</x:v>
      </x:c>
      <x:c r="F586" t="str">
        <x:v>Summer Pounder</x:v>
      </x:c>
      <x:c r="G586" s="6" t="n">
        <x:v>0</x:v>
      </x:c>
      <x:c r="H586" s="6" t="n">
        <x:v>205.55</x:v>
      </x:c>
      <x:c r="I586" s="6" t="n">
        <x:f>G586-H586</x:f>
        <x:v>-205.55</x:v>
      </x:c>
      <x:c r="J586" t="str">
        <x:v>20230101_2721</x:v>
      </x:c>
    </x:row>
    <x:row r="587">
      <x:c r="A587" t="n">
        <x:v>1475</x:v>
      </x:c>
      <x:c r="B587" t="n">
        <x:v>11500</x:v>
      </x:c>
      <x:c r="C587" s="8" t="n">
        <x:v>45009.5</x:v>
      </x:c>
      <x:c r="D587" t="str">
        <x:v>VRNeu21/2</x:v>
      </x:c>
      <x:c r="E587" t="str">
        <x:v>VRNeu21/2</x:v>
      </x:c>
      <x:c r="F587" t="str">
        <x:v>geb ausbuchen</x:v>
      </x:c>
      <x:c r="G587" s="6" t="n">
        <x:v>0</x:v>
      </x:c>
      <x:c r="H587" s="6" t="n">
        <x:v>28.45</x:v>
      </x:c>
      <x:c r="I587" s="6" t="n">
        <x:f>G587-H587</x:f>
        <x:v>-28.45</x:v>
      </x:c>
      <x:c r="J587" t="str">
        <x:v>20230101_2722</x:v>
      </x:c>
    </x:row>
    <x:row r="588">
      <x:c r="A588" t="n">
        <x:v>1476</x:v>
      </x:c>
      <x:c r="B588" t="n">
        <x:v>11500</x:v>
      </x:c>
      <x:c r="C588" s="8" t="n">
        <x:v>45012.5</x:v>
      </x:c>
      <x:c r="D588" t="str">
        <x:v>VRNeu21/3</x:v>
      </x:c>
      <x:c r="E588" t="str">
        <x:v>VRNeu21/3</x:v>
      </x:c>
      <x:c r="F588" t="str">
        <x:v>Popp Maike 2023-193</x:v>
      </x:c>
      <x:c r="G588" s="6" t="n">
        <x:v>0</x:v>
      </x:c>
      <x:c r="H588" s="6" t="n">
        <x:v>548</x:v>
      </x:c>
      <x:c r="I588" s="6" t="n">
        <x:f>G588-H588</x:f>
        <x:v>-548</x:v>
      </x:c>
      <x:c r="J588" t="str">
        <x:v>20230101_2725</x:v>
      </x:c>
    </x:row>
    <x:row r="589">
      <x:c r="A589" t="n">
        <x:v>1477</x:v>
      </x:c>
      <x:c r="B589" t="n">
        <x:v>11500</x:v>
      </x:c>
      <x:c r="C589" s="8" t="n">
        <x:v>45014.5</x:v>
      </x:c>
      <x:c r="D589" t="str">
        <x:v>VRNeu23/2</x:v>
      </x:c>
      <x:c r="E589" t="str">
        <x:v>VRNeu23/2</x:v>
      </x:c>
      <x:c r="F589" t="str">
        <x:v>Plehn Zoe 2023-211</x:v>
      </x:c>
      <x:c r="G589" s="6" t="n">
        <x:v>0</x:v>
      </x:c>
      <x:c r="H589" s="6" t="n">
        <x:v>188</x:v>
      </x:c>
      <x:c r="I589" s="6" t="n">
        <x:f>G589-H589</x:f>
        <x:v>-188</x:v>
      </x:c>
      <x:c r="J589" t="str">
        <x:v>20230101_2739</x:v>
      </x:c>
    </x:row>
    <x:row r="590">
      <x:c r="A590" t="n">
        <x:v>1478</x:v>
      </x:c>
      <x:c r="B590" t="n">
        <x:v>11500</x:v>
      </x:c>
      <x:c r="C590" s="8" t="n">
        <x:v>45027.5</x:v>
      </x:c>
      <x:c r="D590" t="str">
        <x:v>VRNeu28/1</x:v>
      </x:c>
      <x:c r="E590" t="str">
        <x:v>VRNeu28/1</x:v>
      </x:c>
      <x:c r="F590" t="str">
        <x:v>Pracht  2023-213</x:v>
      </x:c>
      <x:c r="G590" s="6" t="n">
        <x:v>0</x:v>
      </x:c>
      <x:c r="H590" s="6" t="n">
        <x:v>480</x:v>
      </x:c>
      <x:c r="I590" s="6" t="n">
        <x:f>G590-H590</x:f>
        <x:v>-480</x:v>
      </x:c>
      <x:c r="J590" t="str">
        <x:v>20230101_2800</x:v>
      </x:c>
    </x:row>
    <x:row r="591">
      <x:c r="A591" t="n">
        <x:v>1479</x:v>
      </x:c>
      <x:c r="B591" t="n">
        <x:v>11500</x:v>
      </x:c>
      <x:c r="C591" s="8" t="n">
        <x:v>45034.5</x:v>
      </x:c>
      <x:c r="D591" t="str">
        <x:v>VRNeu30/1</x:v>
      </x:c>
      <x:c r="E591" t="str">
        <x:v>VRNeu30/1</x:v>
      </x:c>
      <x:c r="F591" t="str">
        <x:v>Penert</x:v>
      </x:c>
      <x:c r="G591" s="6" t="n">
        <x:v>0</x:v>
      </x:c>
      <x:c r="H591" s="6" t="n">
        <x:v>519.8</x:v>
      </x:c>
      <x:c r="I591" s="6" t="n">
        <x:f>G591-H591</x:f>
        <x:v>-519.8</x:v>
      </x:c>
      <x:c r="J591" t="str">
        <x:v>20230101_2843</x:v>
      </x:c>
    </x:row>
    <x:row r="592">
      <x:c r="A592" t="n">
        <x:v>1480</x:v>
      </x:c>
      <x:c r="B592" t="n">
        <x:v>11500</x:v>
      </x:c>
      <x:c r="C592" s="8" t="n">
        <x:v>45043.5</x:v>
      </x:c>
      <x:c r="D592" t="str">
        <x:v>VRNeu34/1</x:v>
      </x:c>
      <x:c r="E592" t="str">
        <x:v>VRNeu34/1</x:v>
      </x:c>
      <x:c r="F592" t="str">
        <x:v>Penert 2023-231</x:v>
      </x:c>
      <x:c r="G592" s="6" t="n">
        <x:v>0</x:v>
      </x:c>
      <x:c r="H592" s="6" t="n">
        <x:v>2079.2</x:v>
      </x:c>
      <x:c r="I592" s="6" t="n">
        <x:f>G592-H592</x:f>
        <x:v>-2079.2</x:v>
      </x:c>
      <x:c r="J592" t="str">
        <x:v>20230101_2910</x:v>
      </x:c>
    </x:row>
    <x:row r="593">
      <x:c r="A593" t="n">
        <x:v>1481</x:v>
      </x:c>
      <x:c r="B593" t="n">
        <x:v>11500</x:v>
      </x:c>
      <x:c r="C593" s="8" t="n">
        <x:v>45044.5</x:v>
      </x:c>
      <x:c r="D593" t="str">
        <x:v>VRNeu34/1</x:v>
      </x:c>
      <x:c r="E593" t="str">
        <x:v>VRNeu34/1</x:v>
      </x:c>
      <x:c r="F593" t="str">
        <x:v>Fulcher 2023-235</x:v>
      </x:c>
      <x:c r="G593" s="6" t="n">
        <x:v>0</x:v>
      </x:c>
      <x:c r="H593" s="6" t="n">
        <x:v>157.55</x:v>
      </x:c>
      <x:c r="I593" s="6" t="n">
        <x:f>G593-H593</x:f>
        <x:v>-157.55</x:v>
      </x:c>
      <x:c r="J593" t="str">
        <x:v>20230101_2912</x:v>
      </x:c>
    </x:row>
    <x:row r="594">
      <x:c r="A594" t="n">
        <x:v>1482</x:v>
      </x:c>
      <x:c r="B594" t="n">
        <x:v>11500</x:v>
      </x:c>
      <x:c r="C594" s="8" t="n">
        <x:v>44950.5</x:v>
      </x:c>
      <x:c r="D594" t="str">
        <x:v>VRNeu4/2</x:v>
      </x:c>
      <x:c r="E594" t="str">
        <x:v>VRNeu4/2</x:v>
      </x:c>
      <x:c r="F594" t="str">
        <x:v>Alesx Jan Polanetzki 2023-111</x:v>
      </x:c>
      <x:c r="G594" s="6" t="n">
        <x:v>0</x:v>
      </x:c>
      <x:c r="H594" s="6" t="n">
        <x:v>199</x:v>
      </x:c>
      <x:c r="I594" s="6" t="n">
        <x:f>G594-H594</x:f>
        <x:v>-199</x:v>
      </x:c>
      <x:c r="J594" t="str">
        <x:v>20230101_2531</x:v>
      </x:c>
    </x:row>
    <x:row r="595">
      <x:c r="A595" t="n">
        <x:v>1483</x:v>
      </x:c>
      <x:c r="B595" t="n">
        <x:v>11500</x:v>
      </x:c>
      <x:c r="C595" s="8" t="n">
        <x:v>45083.5</x:v>
      </x:c>
      <x:c r="D595" t="str">
        <x:v>VRNeu47/1</x:v>
      </x:c>
      <x:c r="E595" t="str">
        <x:v>VRNeu47/1</x:v>
      </x:c>
      <x:c r="F595" t="str">
        <x:v>Pracht 2023_213</x:v>
      </x:c>
      <x:c r="G595" s="6" t="n">
        <x:v>0</x:v>
      </x:c>
      <x:c r="H595" s="6" t="n">
        <x:v>2055</x:v>
      </x:c>
      <x:c r="I595" s="6" t="n">
        <x:f>G595-H595</x:f>
        <x:v>-2055</x:v>
      </x:c>
      <x:c r="J595" t="str">
        <x:v>20230101_3041</x:v>
      </x:c>
    </x:row>
    <x:row r="596">
      <x:c r="A596" t="n">
        <x:v>1484</x:v>
      </x:c>
      <x:c r="B596" t="n">
        <x:v>11500</x:v>
      </x:c>
      <x:c r="C596" s="8" t="n">
        <x:v>45128.5</x:v>
      </x:c>
      <x:c r="D596" t="str">
        <x:v>VRNeu56/2</x:v>
      </x:c>
      <x:c r="E596" t="str">
        <x:v>VRNeu56/2</x:v>
      </x:c>
      <x:c r="F596" t="str">
        <x:v>Popp Maike  2023-193</x:v>
      </x:c>
      <x:c r="G596" s="6" t="n">
        <x:v>0</x:v>
      </x:c>
      <x:c r="H596" s="6" t="n">
        <x:v>2192</x:v>
      </x:c>
      <x:c r="I596" s="6" t="n">
        <x:f>G596-H596</x:f>
        <x:v>-2192</x:v>
      </x:c>
      <x:c r="J596" t="str">
        <x:v>20230101_3250</x:v>
      </x:c>
    </x:row>
    <x:row r="597">
      <x:c r="A597" t="n">
        <x:v>1485</x:v>
      </x:c>
      <x:c r="B597" t="n">
        <x:v>11500</x:v>
      </x:c>
      <x:c r="C597" s="8" t="n">
        <x:v>45141.5</x:v>
      </x:c>
      <x:c r="D597" t="str">
        <x:v>VRNeu60/4</x:v>
      </x:c>
      <x:c r="E597" t="str">
        <x:v>VRNeu60/4</x:v>
      </x:c>
      <x:c r="F597" t="str">
        <x:v>Pittiglio 2023-292</x:v>
      </x:c>
      <x:c r="G597" s="6" t="n">
        <x:v>0</x:v>
      </x:c>
      <x:c r="H597" s="6" t="n">
        <x:v>487.2</x:v>
      </x:c>
      <x:c r="I597" s="6" t="n">
        <x:f>G597-H597</x:f>
        <x:v>-487.2</x:v>
      </x:c>
      <x:c r="J597" t="str">
        <x:v>20230101_3288</x:v>
      </x:c>
    </x:row>
    <x:row r="598">
      <x:c r="A598" t="n">
        <x:v>1486</x:v>
      </x:c>
      <x:c r="B598" t="n">
        <x:v>11500</x:v>
      </x:c>
      <x:c r="C598" s="8" t="n">
        <x:v>45174.5</x:v>
      </x:c>
      <x:c r="D598" t="str">
        <x:v>VRNeu68/2</x:v>
      </x:c>
      <x:c r="E598" t="str">
        <x:v>VRNeu68/2</x:v>
      </x:c>
      <x:c r="F598" t="str">
        <x:v>Poanetzki 2023-111</x:v>
      </x:c>
      <x:c r="G598" s="6" t="n">
        <x:v>0</x:v>
      </x:c>
      <x:c r="H598" s="6" t="n">
        <x:v>796</x:v>
      </x:c>
      <x:c r="I598" s="6" t="n">
        <x:f>G598-H598</x:f>
        <x:v>-796</x:v>
      </x:c>
      <x:c r="J598" t="str">
        <x:v>20230101_3333</x:v>
      </x:c>
    </x:row>
    <x:row r="599">
      <x:c r="A599" t="n">
        <x:v>1487</x:v>
      </x:c>
      <x:c r="B599" t="n">
        <x:v>11700</x:v>
      </x:c>
      <x:c r="C599" s="8" t="n">
        <x:v>44927.5</x:v>
      </x:c>
      <x:c r="D599" t="str">
        <x:v>29</x:v>
      </x:c>
      <x:c r="E599" t="str">
        <x:v>29</x:v>
      </x:c>
      <x:c r="F599" t="str">
        <x:v>renaudin</x:v>
      </x:c>
      <x:c r="G599" s="6" t="n">
        <x:v>0</x:v>
      </x:c>
      <x:c r="H599" s="6" t="n">
        <x:v>1632.5</x:v>
      </x:c>
      <x:c r="I599" s="6" t="n">
        <x:f>G599-H599</x:f>
        <x:v>-1632.5</x:v>
      </x:c>
      <x:c r="J599" t="str">
        <x:v>20230101_3572</x:v>
      </x:c>
    </x:row>
    <x:row r="600">
      <x:c r="A600" t="n">
        <x:v>1488</x:v>
      </x:c>
      <x:c r="B600" t="n">
        <x:v>11700</x:v>
      </x:c>
      <x:c r="C600" s="8" t="n">
        <x:v>44927.5</x:v>
      </x:c>
      <x:c r="D600" t="str">
        <x:v>45</x:v>
      </x:c>
      <x:c r="E600" t="str">
        <x:v>45</x:v>
      </x:c>
      <x:c r="F600" t="str">
        <x:v>trümel</x:v>
      </x:c>
      <x:c r="G600" s="6" t="n">
        <x:v>0</x:v>
      </x:c>
      <x:c r="H600" s="6" t="n">
        <x:v>550</x:v>
      </x:c>
      <x:c r="I600" s="6" t="n">
        <x:f>G600-H600</x:f>
        <x:v>-550</x:v>
      </x:c>
      <x:c r="J600" t="str">
        <x:v>20230101_3571</x:v>
      </x:c>
    </x:row>
    <x:row r="601">
      <x:c r="A601" t="n">
        <x:v>1489</x:v>
      </x:c>
      <x:c r="B601" t="n">
        <x:v>11700</x:v>
      </x:c>
      <x:c r="C601" s="8" t="n">
        <x:v>44928.5</x:v>
      </x:c>
      <x:c r="D601" t="str">
        <x:v>100</x:v>
      </x:c>
      <x:c r="E601" t="str">
        <x:v>100</x:v>
      </x:c>
      <x:c r="F601" t="str">
        <x:v>ranner griechenland</x:v>
      </x:c>
      <x:c r="G601" s="6" t="n">
        <x:v>176.8</x:v>
      </x:c>
      <x:c r="H601" s="6" t="n">
        <x:v>0</x:v>
      </x:c>
      <x:c r="I601" s="6" t="n">
        <x:f>G601-H601</x:f>
        <x:v>176.8</x:v>
      </x:c>
      <x:c r="J601" t="str">
        <x:v>20230101_2492</x:v>
      </x:c>
    </x:row>
    <x:row r="602">
      <x:c r="A602" t="n">
        <x:v>1490</x:v>
      </x:c>
      <x:c r="B602" t="n">
        <x:v>11700</x:v>
      </x:c>
      <x:c r="C602" s="8" t="n">
        <x:v>44935.5</x:v>
      </x:c>
      <x:c r="D602" t="str">
        <x:v>107</x:v>
      </x:c>
      <x:c r="E602" t="str">
        <x:v>107</x:v>
      </x:c>
      <x:c r="F602" t="str">
        <x:v>rimpel costa rice</x:v>
      </x:c>
      <x:c r="G602" s="6" t="n">
        <x:v>10350</x:v>
      </x:c>
      <x:c r="H602" s="6" t="n">
        <x:v>0</x:v>
      </x:c>
      <x:c r="I602" s="6" t="n">
        <x:f>G602-H602</x:f>
        <x:v>10350</x:v>
      </x:c>
      <x:c r="J602" t="str">
        <x:v>20230101_2501</x:v>
      </x:c>
    </x:row>
    <x:row r="603">
      <x:c r="A603" t="n">
        <x:v>1505</x:v>
      </x:c>
      <x:c r="B603" t="n">
        <x:v>11700</x:v>
      </x:c>
      <x:c r="C603" s="8" t="n">
        <x:v>45000.5</x:v>
      </x:c>
      <x:c r="D603" t="str">
        <x:v>197</x:v>
      </x:c>
      <x:c r="E603" t="str">
        <x:v>197</x:v>
      </x:c>
      <x:c r="F603" t="str">
        <x:v>Rettenbacher, Mexiko</x:v>
      </x:c>
      <x:c r="G603" s="6" t="n">
        <x:v>812</x:v>
      </x:c>
      <x:c r="H603" s="6" t="n">
        <x:v>0</x:v>
      </x:c>
      <x:c r="I603" s="6" t="n">
        <x:f>G603-H603</x:f>
        <x:v>812</x:v>
      </x:c>
      <x:c r="J603" t="str">
        <x:v>20230101_2684</x:v>
      </x:c>
    </x:row>
    <x:row r="604">
      <x:c r="A604" t="n">
        <x:v>1506</x:v>
      </x:c>
      <x:c r="B604" t="n">
        <x:v>11700</x:v>
      </x:c>
      <x:c r="C604" s="8" t="n">
        <x:v>45000.5</x:v>
      </x:c>
      <x:c r="D604" t="str">
        <x:v>201</x:v>
      </x:c>
      <x:c r="E604" t="str">
        <x:v>201</x:v>
      </x:c>
      <x:c r="F604" t="str">
        <x:v>Reay, Tanzania</x:v>
      </x:c>
      <x:c r="G604" s="6" t="n">
        <x:v>940</x:v>
      </x:c>
      <x:c r="H604" s="6" t="n">
        <x:v>0</x:v>
      </x:c>
      <x:c r="I604" s="6" t="n">
        <x:f>G604-H604</x:f>
        <x:v>940</x:v>
      </x:c>
      <x:c r="J604" t="str">
        <x:v>20230101_2688</x:v>
      </x:c>
    </x:row>
    <x:row r="605">
      <x:c r="A605" t="n">
        <x:v>1507</x:v>
      </x:c>
      <x:c r="B605" t="n">
        <x:v>11700</x:v>
      </x:c>
      <x:c r="C605" s="8" t="n">
        <x:v>45002.5</x:v>
      </x:c>
      <x:c r="D605" t="str">
        <x:v>204</x:v>
      </x:c>
      <x:c r="E605" t="str">
        <x:v>204</x:v>
      </x:c>
      <x:c r="F605" t="str">
        <x:v>Ruppert, Costa Rica</x:v>
      </x:c>
      <x:c r="G605" s="6" t="n">
        <x:v>1060</x:v>
      </x:c>
      <x:c r="H605" s="6" t="n">
        <x:v>0</x:v>
      </x:c>
      <x:c r="I605" s="6" t="n">
        <x:f>G605-H605</x:f>
        <x:v>1060</x:v>
      </x:c>
      <x:c r="J605" t="str">
        <x:v>20230101_2696</x:v>
      </x:c>
    </x:row>
    <x:row r="606">
      <x:c r="A606" t="n">
        <x:v>1508</x:v>
      </x:c>
      <x:c r="B606" t="n">
        <x:v>11700</x:v>
      </x:c>
      <x:c r="C606" s="8" t="n">
        <x:v>45019.5</x:v>
      </x:c>
      <x:c r="D606" t="str">
        <x:v>226</x:v>
      </x:c>
      <x:c r="E606" t="str">
        <x:v>226</x:v>
      </x:c>
      <x:c r="F606" t="str">
        <x:v>Reich, Costa Rica</x:v>
      </x:c>
      <x:c r="G606" s="6" t="n">
        <x:v>1670</x:v>
      </x:c>
      <x:c r="H606" s="6" t="n">
        <x:v>0</x:v>
      </x:c>
      <x:c r="I606" s="6" t="n">
        <x:f>G606-H606</x:f>
        <x:v>1670</x:v>
      </x:c>
      <x:c r="J606" t="str">
        <x:v>20230101_2749</x:v>
      </x:c>
    </x:row>
    <x:row r="607">
      <x:c r="A607" t="n">
        <x:v>1509</x:v>
      </x:c>
      <x:c r="B607" t="n">
        <x:v>11700</x:v>
      </x:c>
      <x:c r="C607" s="8" t="n">
        <x:v>44927.5</x:v>
      </x:c>
      <x:c r="D607" t="str">
        <x:v>253</x:v>
      </x:c>
      <x:c r="E607" t="str">
        <x:v>253</x:v>
      </x:c>
      <x:c r="F607" t="str">
        <x:v>Vortragsaktualisierung</x:v>
      </x:c>
      <x:c r="G607" s="6" t="n">
        <x:v>2182.5</x:v>
      </x:c>
      <x:c r="H607" s="6" t="n">
        <x:v>0</x:v>
      </x:c>
      <x:c r="I607" s="6" t="n">
        <x:f>G607-H607</x:f>
        <x:v>2182.5</x:v>
      </x:c>
      <x:c r="J607" t="str">
        <x:v>20230101_2431</x:v>
      </x:c>
    </x:row>
    <x:row r="608">
      <x:c r="A608" t="n">
        <x:v>1510</x:v>
      </x:c>
      <x:c r="B608" t="n">
        <x:v>11700</x:v>
      </x:c>
      <x:c r="C608" s="8" t="n">
        <x:v>45034.5</x:v>
      </x:c>
      <x:c r="D608" t="str">
        <x:v>2023%247</x:v>
      </x:c>
      <x:c r="E608" t="str">
        <x:v>2023%247</x:v>
      </x:c>
      <x:c r="F608" t="str">
        <x:v>Jazmin Robinson</x:v>
      </x:c>
      <x:c r="G608" s="6" t="n">
        <x:v>490</x:v>
      </x:c>
      <x:c r="H608" s="6" t="n">
        <x:v>0</x:v>
      </x:c>
      <x:c r="I608" s="6" t="n">
        <x:f>G608-H608</x:f>
        <x:v>490</x:v>
      </x:c>
      <x:c r="J608" t="str">
        <x:v>20230101_2842</x:v>
      </x:c>
    </x:row>
    <x:row r="609">
      <x:c r="A609" t="n">
        <x:v>1511</x:v>
      </x:c>
      <x:c r="B609" t="n">
        <x:v>11700</x:v>
      </x:c>
      <x:c r="C609" s="8" t="n">
        <x:v>45126.5</x:v>
      </x:c>
      <x:c r="D609" t="str">
        <x:v>2023%358</x:v>
      </x:c>
      <x:c r="E609" t="str">
        <x:v>2023%358</x:v>
      </x:c>
      <x:c r="F609" t="str">
        <x:v>Rimpel</x:v>
      </x:c>
      <x:c r="G609" s="6" t="n">
        <x:v>783</x:v>
      </x:c>
      <x:c r="H609" s="6" t="n">
        <x:v>0</x:v>
      </x:c>
      <x:c r="I609" s="6" t="n">
        <x:f>G609-H609</x:f>
        <x:v>783</x:v>
      </x:c>
      <x:c r="J609" t="str">
        <x:v>20230101_3237</x:v>
      </x:c>
    </x:row>
    <x:row r="610">
      <x:c r="A610" t="n">
        <x:v>1514</x:v>
      </x:c>
      <x:c r="B610" t="n">
        <x:v>11700</x:v>
      </x:c>
      <x:c r="C610" s="8" t="n">
        <x:v>44979.5</x:v>
      </x:c>
      <x:c r="D610" t="str">
        <x:v>VRNeu10</x:v>
      </x:c>
      <x:c r="E610" t="str">
        <x:v>VRNeu10</x:v>
      </x:c>
      <x:c r="F610" t="str">
        <x:v>Brigitte Ranner 2022-100</x:v>
      </x:c>
      <x:c r="G610" s="6" t="n">
        <x:v>0</x:v>
      </x:c>
      <x:c r="H610" s="6" t="n">
        <x:v>176.8</x:v>
      </x:c>
      <x:c r="I610" s="6" t="n">
        <x:f>G610-H610</x:f>
        <x:v>-176.8</x:v>
      </x:c>
      <x:c r="J610" t="str">
        <x:v>20230101_2606</x:v>
      </x:c>
    </x:row>
    <x:row r="611">
      <x:c r="A611" t="n">
        <x:v>1515</x:v>
      </x:c>
      <x:c r="B611" t="n">
        <x:v>11700</x:v>
      </x:c>
      <x:c r="C611" s="8" t="n">
        <x:v>44981.5</x:v>
      </x:c>
      <x:c r="D611" t="str">
        <x:v>VRNeu11/2</x:v>
      </x:c>
      <x:c r="E611" t="str">
        <x:v>VRNeu11/2</x:v>
      </x:c>
      <x:c r="F611" t="str">
        <x:v>Sofia Rimpel 2023-107 2. Rate</x:v>
      </x:c>
      <x:c r="G611" s="6" t="n">
        <x:v>0</x:v>
      </x:c>
      <x:c r="H611" s="6" t="n">
        <x:v>2070</x:v>
      </x:c>
      <x:c r="I611" s="6" t="n">
        <x:f>G611-H611</x:f>
        <x:v>-2070</x:v>
      </x:c>
      <x:c r="J611" t="str">
        <x:v>20230101_2617</x:v>
      </x:c>
    </x:row>
    <x:row r="612">
      <x:c r="A612" t="n">
        <x:v>1516</x:v>
      </x:c>
      <x:c r="B612" t="n">
        <x:v>11700</x:v>
      </x:c>
      <x:c r="C612" s="8" t="n">
        <x:v>44936.5</x:v>
      </x:c>
      <x:c r="D612" t="str">
        <x:v>VRNeu2/3</x:v>
      </x:c>
      <x:c r="E612" t="str">
        <x:v>VRNeu2/3</x:v>
      </x:c>
      <x:c r="F612" t="str">
        <x:v>Sofia Rimpel 2023-107</x:v>
      </x:c>
      <x:c r="G612" s="6" t="n">
        <x:v>0</x:v>
      </x:c>
      <x:c r="H612" s="6" t="n">
        <x:v>2070</x:v>
      </x:c>
      <x:c r="I612" s="6" t="n">
        <x:f>G612-H612</x:f>
        <x:v>-2070</x:v>
      </x:c>
      <x:c r="J612" t="str">
        <x:v>20230101_2509</x:v>
      </x:c>
    </x:row>
    <x:row r="613">
      <x:c r="A613" t="n">
        <x:v>1517</x:v>
      </x:c>
      <x:c r="B613" t="n">
        <x:v>11700</x:v>
      </x:c>
      <x:c r="C613" s="8" t="n">
        <x:v>45022.5</x:v>
      </x:c>
      <x:c r="D613" t="str">
        <x:v>VRNeu27/1</x:v>
      </x:c>
      <x:c r="E613" t="str">
        <x:v>VRNeu27/1</x:v>
      </x:c>
      <x:c r="F613" t="str">
        <x:v>Reich RE 2023-226</x:v>
      </x:c>
      <x:c r="G613" s="6" t="n">
        <x:v>0</x:v>
      </x:c>
      <x:c r="H613" s="6" t="n">
        <x:v>334</x:v>
      </x:c>
      <x:c r="I613" s="6" t="n">
        <x:f>G613-H613</x:f>
        <x:v>-334</x:v>
      </x:c>
      <x:c r="J613" t="str">
        <x:v>20230101_2770</x:v>
      </x:c>
    </x:row>
    <x:row r="614">
      <x:c r="A614" t="n">
        <x:v>1518</x:v>
      </x:c>
      <x:c r="B614" t="n">
        <x:v>11700</x:v>
      </x:c>
      <x:c r="C614" s="8" t="n">
        <x:v>45041.5</x:v>
      </x:c>
      <x:c r="D614" t="str">
        <x:v>VRNeu33/2</x:v>
      </x:c>
      <x:c r="E614" t="str">
        <x:v>VRNeu33/2</x:v>
      </x:c>
      <x:c r="F614" t="str">
        <x:v>Robinson  2023-247</x:v>
      </x:c>
      <x:c r="G614" s="6" t="n">
        <x:v>0</x:v>
      </x:c>
      <x:c r="H614" s="6" t="n">
        <x:v>177.55</x:v>
      </x:c>
      <x:c r="I614" s="6" t="n">
        <x:f>G614-H614</x:f>
        <x:v>-177.55</x:v>
      </x:c>
      <x:c r="J614" t="str">
        <x:v>20230101_2885</x:v>
      </x:c>
    </x:row>
    <x:row r="615">
      <x:c r="A615" t="n">
        <x:v>1519</x:v>
      </x:c>
      <x:c r="B615" t="n">
        <x:v>11700</x:v>
      </x:c>
      <x:c r="C615" s="8" t="n">
        <x:v>45048.5</x:v>
      </x:c>
      <x:c r="D615" t="str">
        <x:v>VRNeu35/3</x:v>
      </x:c>
      <x:c r="E615" t="str">
        <x:v>VRNeu35/3</x:v>
      </x:c>
      <x:c r="F615" t="str">
        <x:v>Ruppert 2023-204</x:v>
      </x:c>
      <x:c r="G615" s="6" t="n">
        <x:v>0</x:v>
      </x:c>
      <x:c r="H615" s="6" t="n">
        <x:v>1060</x:v>
      </x:c>
      <x:c r="I615" s="6" t="n">
        <x:f>G615-H615</x:f>
        <x:v>-1060</x:v>
      </x:c>
      <x:c r="J615" t="str">
        <x:v>20230101_2927</x:v>
      </x:c>
    </x:row>
    <x:row r="616">
      <x:c r="A616" t="n">
        <x:v>1520</x:v>
      </x:c>
      <x:c r="B616" t="n">
        <x:v>11700</x:v>
      </x:c>
      <x:c r="C616" s="8" t="n">
        <x:v>45063.5</x:v>
      </x:c>
      <x:c r="D616" t="str">
        <x:v>VRNeu41/1</x:v>
      </x:c>
      <x:c r="E616" t="str">
        <x:v>VRNeu41/1</x:v>
      </x:c>
      <x:c r="F616" t="str">
        <x:v>Reich 2023-226</x:v>
      </x:c>
      <x:c r="G616" s="6" t="n">
        <x:v>0</x:v>
      </x:c>
      <x:c r="H616" s="6" t="n">
        <x:v>1336</x:v>
      </x:c>
      <x:c r="I616" s="6" t="n">
        <x:f>G616-H616</x:f>
        <x:v>-1336</x:v>
      </x:c>
      <x:c r="J616" t="str">
        <x:v>20230101_2978</x:v>
      </x:c>
    </x:row>
    <x:row r="617">
      <x:c r="A617" t="n">
        <x:v>1521</x:v>
      </x:c>
      <x:c r="B617" t="n">
        <x:v>11700</x:v>
      </x:c>
      <x:c r="C617" s="8" t="n">
        <x:v>45068.5</x:v>
      </x:c>
      <x:c r="D617" t="str">
        <x:v>VRNeu42/1</x:v>
      </x:c>
      <x:c r="E617" t="str">
        <x:v>VRNeu42/1</x:v>
      </x:c>
      <x:c r="F617" t="str">
        <x:v>Rimpel 2023_107</x:v>
      </x:c>
      <x:c r="G617" s="6" t="n">
        <x:v>0</x:v>
      </x:c>
      <x:c r="H617" s="6" t="n">
        <x:v>6210</x:v>
      </x:c>
      <x:c r="I617" s="6" t="n">
        <x:f>G617-H617</x:f>
        <x:v>-6210</x:v>
      </x:c>
      <x:c r="J617" t="str">
        <x:v>20230101_2991</x:v>
      </x:c>
    </x:row>
    <x:row r="618">
      <x:c r="A618" t="n">
        <x:v>1522</x:v>
      </x:c>
      <x:c r="B618" t="n">
        <x:v>11700</x:v>
      </x:c>
      <x:c r="C618" s="8" t="n">
        <x:v>45078.5</x:v>
      </x:c>
      <x:c r="D618" t="str">
        <x:v>VRNeu45/1</x:v>
      </x:c>
      <x:c r="E618" t="str">
        <x:v>VRNeu45/1</x:v>
      </x:c>
      <x:c r="F618" t="str">
        <x:v>Sam Reay 2023-201</x:v>
      </x:c>
      <x:c r="G618" s="6" t="n">
        <x:v>0</x:v>
      </x:c>
      <x:c r="H618" s="6" t="n">
        <x:v>733.55</x:v>
      </x:c>
      <x:c r="I618" s="6" t="n">
        <x:f>G618-H618</x:f>
        <x:v>-733.55</x:v>
      </x:c>
      <x:c r="J618" t="str">
        <x:v>20230101_3022</x:v>
      </x:c>
    </x:row>
    <x:row r="619">
      <x:c r="A619" t="n">
        <x:v>1523</x:v>
      </x:c>
      <x:c r="B619" t="n">
        <x:v>11700</x:v>
      </x:c>
      <x:c r="C619" s="8" t="n">
        <x:v>45104.5</x:v>
      </x:c>
      <x:c r="D619" t="str">
        <x:v>VRNeu51/4</x:v>
      </x:c>
      <x:c r="E619" t="str">
        <x:v>VRNeu51/4</x:v>
      </x:c>
      <x:c r="F619" t="str">
        <x:v>Reay Jaenette</x:v>
      </x:c>
      <x:c r="G619" s="6" t="n">
        <x:v>0</x:v>
      </x:c>
      <x:c r="H619" s="6" t="n">
        <x:v>267</x:v>
      </x:c>
      <x:c r="I619" s="6" t="n">
        <x:f>G619-H619</x:f>
        <x:v>-267</x:v>
      </x:c>
      <x:c r="J619" t="str">
        <x:v>20230101_3161</x:v>
      </x:c>
    </x:row>
    <x:row r="620">
      <x:c r="A620" t="n">
        <x:v>1524</x:v>
      </x:c>
      <x:c r="B620" t="n">
        <x:v>11700</x:v>
      </x:c>
      <x:c r="C620" s="8" t="n">
        <x:v>45128.5</x:v>
      </x:c>
      <x:c r="D620" t="str">
        <x:v>VRNeu56/2</x:v>
      </x:c>
      <x:c r="E620" t="str">
        <x:v>VRNeu56/2</x:v>
      </x:c>
      <x:c r="F620" t="str">
        <x:v>Rimpel 2023-358</x:v>
      </x:c>
      <x:c r="G620" s="6" t="n">
        <x:v>0</x:v>
      </x:c>
      <x:c r="H620" s="6" t="n">
        <x:v>156.6</x:v>
      </x:c>
      <x:c r="I620" s="6" t="n">
        <x:f>G620-H620</x:f>
        <x:v>-156.6</x:v>
      </x:c>
      <x:c r="J620" t="str">
        <x:v>20230101_3256</x:v>
      </x:c>
    </x:row>
    <x:row r="621">
      <x:c r="A621" t="n">
        <x:v>1538</x:v>
      </x:c>
      <x:c r="B621" t="n">
        <x:v>11800</x:v>
      </x:c>
      <x:c r="C621" s="8" t="n">
        <x:v>44959.5</x:v>
      </x:c>
      <x:c r="D621" t="str">
        <x:v>124</x:v>
      </x:c>
      <x:c r="E621" t="str">
        <x:v>124</x:v>
      </x:c>
      <x:c r="F621" t="str">
        <x:v>sasse costa rica</x:v>
      </x:c>
      <x:c r="G621" s="6" t="n">
        <x:v>1180</x:v>
      </x:c>
      <x:c r="H621" s="6" t="n">
        <x:v>0</x:v>
      </x:c>
      <x:c r="I621" s="6" t="n">
        <x:f>G621-H621</x:f>
        <x:v>1180</x:v>
      </x:c>
      <x:c r="J621" t="str">
        <x:v>20230101_2542</x:v>
      </x:c>
    </x:row>
    <x:row r="622">
      <x:c r="A622" t="n">
        <x:v>1539</x:v>
      </x:c>
      <x:c r="B622" t="n">
        <x:v>11800</x:v>
      </x:c>
      <x:c r="C622" s="8" t="n">
        <x:v>45083.5</x:v>
      </x:c>
      <x:c r="D622" t="str">
        <x:v>2023%290</x:v>
      </x:c>
      <x:c r="E622" t="str">
        <x:v>2023%290</x:v>
      </x:c>
      <x:c r="F622" t="str">
        <x:v>Keanu Selbst</x:v>
      </x:c>
      <x:c r="G622" s="6" t="n">
        <x:v>1779</x:v>
      </x:c>
      <x:c r="H622" s="6" t="n">
        <x:v>0</x:v>
      </x:c>
      <x:c r="I622" s="6" t="n">
        <x:f>G622-H622</x:f>
        <x:v>1779</x:v>
      </x:c>
      <x:c r="J622" t="str">
        <x:v>20230101_3036</x:v>
      </x:c>
    </x:row>
    <x:row r="623">
      <x:c r="A623" t="n">
        <x:v>1540</x:v>
      </x:c>
      <x:c r="B623" t="n">
        <x:v>11800</x:v>
      </x:c>
      <x:c r="C623" s="8" t="n">
        <x:v>45125.5</x:v>
      </x:c>
      <x:c r="D623" t="str">
        <x:v>2023%345</x:v>
      </x:c>
      <x:c r="E623" t="str">
        <x:v>2023%345</x:v>
      </x:c>
      <x:c r="F623" t="str">
        <x:v>Sampson</x:v>
      </x:c>
      <x:c r="G623" s="6" t="n">
        <x:v>251.2</x:v>
      </x:c>
      <x:c r="H623" s="6" t="n">
        <x:v>0</x:v>
      </x:c>
      <x:c r="I623" s="6" t="n">
        <x:f>G623-H623</x:f>
        <x:v>251.2</x:v>
      </x:c>
      <x:c r="J623" t="str">
        <x:v>20230101_3218</x:v>
      </x:c>
    </x:row>
    <x:row r="624">
      <x:c r="A624" t="n">
        <x:v>1541</x:v>
      </x:c>
      <x:c r="B624" t="n">
        <x:v>11800</x:v>
      </x:c>
      <x:c r="C624" s="8" t="n">
        <x:v>45173.5</x:v>
      </x:c>
      <x:c r="D624" t="str">
        <x:v>2023%360</x:v>
      </x:c>
      <x:c r="E624" t="str">
        <x:v>2023%360</x:v>
      </x:c>
      <x:c r="F624" t="str">
        <x:v>Sagna</x:v>
      </x:c>
      <x:c r="G624" s="6" t="n">
        <x:v>1550</x:v>
      </x:c>
      <x:c r="H624" s="6" t="n">
        <x:v>0</x:v>
      </x:c>
      <x:c r="I624" s="6" t="n">
        <x:f>G624-H624</x:f>
        <x:v>1550</x:v>
      </x:c>
      <x:c r="J624" t="str">
        <x:v>20230101_3329</x:v>
      </x:c>
    </x:row>
    <x:row r="625">
      <x:c r="A625" t="n">
        <x:v>1542</x:v>
      </x:c>
      <x:c r="B625" t="n">
        <x:v>11800</x:v>
      </x:c>
      <x:c r="C625" s="8" t="n">
        <x:v>45289.5</x:v>
      </x:c>
      <x:c r="D625" t="str">
        <x:v>VRNeu101/2</x:v>
      </x:c>
      <x:c r="E625" t="str">
        <x:v>VRNeu101/2</x:v>
      </x:c>
      <x:c r="F625" t="str">
        <x:v>Sagna 2023_360</x:v>
      </x:c>
      <x:c r="G625" s="6" t="n">
        <x:v>0</x:v>
      </x:c>
      <x:c r="H625" s="6" t="n">
        <x:v>1240</x:v>
      </x:c>
      <x:c r="I625" s="6" t="n">
        <x:f>G625-H625</x:f>
        <x:v>-1240</x:v>
      </x:c>
      <x:c r="J625" t="str">
        <x:v>20230101_3526</x:v>
      </x:c>
    </x:row>
    <x:row r="626">
      <x:c r="A626" t="n">
        <x:v>1543</x:v>
      </x:c>
      <x:c r="B626" t="n">
        <x:v>11800</x:v>
      </x:c>
      <x:c r="C626" s="8" t="n">
        <x:v>45063.5</x:v>
      </x:c>
      <x:c r="D626" t="str">
        <x:v>VRNeu41/1</x:v>
      </x:c>
      <x:c r="E626" t="str">
        <x:v>VRNeu41/1</x:v>
      </x:c>
      <x:c r="F626" t="str">
        <x:v>Sasse 2023_124</x:v>
      </x:c>
      <x:c r="G626" s="6" t="n">
        <x:v>0</x:v>
      </x:c>
      <x:c r="H626" s="6" t="n">
        <x:v>944</x:v>
      </x:c>
      <x:c r="I626" s="6" t="n">
        <x:f>G626-H626</x:f>
        <x:v>-944</x:v>
      </x:c>
      <x:c r="J626" t="str">
        <x:v>20230101_2979</x:v>
      </x:c>
    </x:row>
    <x:row r="627">
      <x:c r="A627" t="n">
        <x:v>1544</x:v>
      </x:c>
      <x:c r="B627" t="n">
        <x:v>11800</x:v>
      </x:c>
      <x:c r="C627" s="8" t="n">
        <x:v>45097.5</x:v>
      </x:c>
      <x:c r="D627" t="str">
        <x:v>VRNeu51/2</x:v>
      </x:c>
      <x:c r="E627" t="str">
        <x:v>VRNeu51/2</x:v>
      </x:c>
      <x:c r="F627" t="str">
        <x:v>Keanu Selbst 2023_290</x:v>
      </x:c>
      <x:c r="G627" s="6" t="n">
        <x:v>0</x:v>
      </x:c>
      <x:c r="H627" s="6" t="n">
        <x:v>355.8</x:v>
      </x:c>
      <x:c r="I627" s="6" t="n">
        <x:f>G627-H627</x:f>
        <x:v>-355.8</x:v>
      </x:c>
      <x:c r="J627" t="str">
        <x:v>20230101_3124</x:v>
      </x:c>
    </x:row>
    <x:row r="628">
      <x:c r="A628" t="n">
        <x:v>1545</x:v>
      </x:c>
      <x:c r="B628" t="n">
        <x:v>11800</x:v>
      </x:c>
      <x:c r="C628" s="8" t="n">
        <x:v>45145.5</x:v>
      </x:c>
      <x:c r="D628" t="str">
        <x:v>VRNeu61/1</x:v>
      </x:c>
      <x:c r="E628" t="str">
        <x:v>VRNeu61/1</x:v>
      </x:c>
      <x:c r="F628" t="str">
        <x:v>Selbst 2023-290</x:v>
      </x:c>
      <x:c r="G628" s="6" t="n">
        <x:v>0</x:v>
      </x:c>
      <x:c r="H628" s="6" t="n">
        <x:v>1423.2</x:v>
      </x:c>
      <x:c r="I628" s="6" t="n">
        <x:f>G628-H628</x:f>
        <x:v>-1423.2</x:v>
      </x:c>
      <x:c r="J628" t="str">
        <x:v>20230101_3295</x:v>
      </x:c>
    </x:row>
    <x:row r="629">
      <x:c r="A629" t="n">
        <x:v>1546</x:v>
      </x:c>
      <x:c r="B629" t="n">
        <x:v>11800</x:v>
      </x:c>
      <x:c r="C629" s="8" t="n">
        <x:v>44964.5</x:v>
      </x:c>
      <x:c r="D629" t="str">
        <x:v>VRNeu8/2</x:v>
      </x:c>
      <x:c r="E629" t="str">
        <x:v>VRNeu8/2</x:v>
      </x:c>
      <x:c r="F629" t="str">
        <x:v>Sasse Sandra</x:v>
      </x:c>
      <x:c r="G629" s="6" t="n">
        <x:v>0</x:v>
      </x:c>
      <x:c r="H629" s="6" t="n">
        <x:v>236</x:v>
      </x:c>
      <x:c r="I629" s="6" t="n">
        <x:f>G629-H629</x:f>
        <x:v>-236</x:v>
      </x:c>
      <x:c r="J629" t="str">
        <x:v>20230101_2554</x:v>
      </x:c>
    </x:row>
    <x:row r="630">
      <x:c r="A630" t="n">
        <x:v>1547</x:v>
      </x:c>
      <x:c r="B630" t="n">
        <x:v>11800</x:v>
      </x:c>
      <x:c r="C630" s="8" t="n">
        <x:v>45219.5</x:v>
      </x:c>
      <x:c r="D630" t="str">
        <x:v>VRNeu82/1</x:v>
      </x:c>
      <x:c r="E630" t="str">
        <x:v>VRNeu82/1</x:v>
      </x:c>
      <x:c r="F630" t="str">
        <x:v>Sagna 2023-360</x:v>
      </x:c>
      <x:c r="G630" s="6" t="n">
        <x:v>0</x:v>
      </x:c>
      <x:c r="H630" s="6" t="n">
        <x:v>310</x:v>
      </x:c>
      <x:c r="I630" s="6" t="n">
        <x:f>G630-H630</x:f>
        <x:v>-310</x:v>
      </x:c>
      <x:c r="J630" t="str">
        <x:v>20230101_3405</x:v>
      </x:c>
    </x:row>
    <x:row r="631">
      <x:c r="A631" t="n">
        <x:v>1548</x:v>
      </x:c>
      <x:c r="B631" t="n">
        <x:v>11900</x:v>
      </x:c>
      <x:c r="C631" s="8" t="n">
        <x:v>44927.5</x:v>
      </x:c>
      <x:c r="D631" t="str">
        <x:v>111</x:v>
      </x:c>
      <x:c r="E631" t="str">
        <x:v>111</x:v>
      </x:c>
      <x:c r="F631" t="str">
        <x:v>schaller</x:v>
      </x:c>
      <x:c r="G631" s="6" t="n">
        <x:v>202.8</x:v>
      </x:c>
      <x:c r="H631" s="6" t="n">
        <x:v>0</x:v>
      </x:c>
      <x:c r="I631" s="6" t="n">
        <x:f>G631-H631</x:f>
        <x:v>202.8</x:v>
      </x:c>
      <x:c r="J631" t="str">
        <x:v>20230101_2474</x:v>
      </x:c>
    </x:row>
    <x:row r="632">
      <x:c r="A632" t="n">
        <x:v>1549</x:v>
      </x:c>
      <x:c r="B632" t="n">
        <x:v>11900</x:v>
      </x:c>
      <x:c r="C632" s="8" t="n">
        <x:v>44963.5</x:v>
      </x:c>
      <x:c r="D632" t="str">
        <x:v>127</x:v>
      </x:c>
      <x:c r="E632" t="str">
        <x:v>127</x:v>
      </x:c>
      <x:c r="F632" t="str">
        <x:v>schorb costa rica</x:v>
      </x:c>
      <x:c r="G632" s="6" t="n">
        <x:v>1260</x:v>
      </x:c>
      <x:c r="H632" s="6" t="n">
        <x:v>0</x:v>
      </x:c>
      <x:c r="I632" s="6" t="n">
        <x:f>G632-H632</x:f>
        <x:v>1260</x:v>
      </x:c>
      <x:c r="J632" t="str">
        <x:v>20230101_2549</x:v>
      </x:c>
    </x:row>
    <x:row r="633">
      <x:c r="A633" t="n">
        <x:v>1550</x:v>
      </x:c>
      <x:c r="B633" t="n">
        <x:v>11900</x:v>
      </x:c>
      <x:c r="C633" s="8" t="n">
        <x:v>44981.5</x:v>
      </x:c>
      <x:c r="D633" t="str">
        <x:v>160</x:v>
      </x:c>
      <x:c r="E633" t="str">
        <x:v>160</x:v>
      </x:c>
      <x:c r="F633" t="str">
        <x:v>Schneider, Greece</x:v>
      </x:c>
      <x:c r="G633" s="6" t="n">
        <x:v>312</x:v>
      </x:c>
      <x:c r="H633" s="6" t="n">
        <x:v>0</x:v>
      </x:c>
      <x:c r="I633" s="6" t="n">
        <x:f>G633-H633</x:f>
        <x:v>312</x:v>
      </x:c>
      <x:c r="J633" t="str">
        <x:v>20230101_2612</x:v>
      </x:c>
    </x:row>
    <x:row r="634">
      <x:c r="A634" t="n">
        <x:v>1551</x:v>
      </x:c>
      <x:c r="B634" t="n">
        <x:v>11900</x:v>
      </x:c>
      <x:c r="C634" s="8" t="n">
        <x:v>44981.5</x:v>
      </x:c>
      <x:c r="D634" t="str">
        <x:v>161</x:v>
      </x:c>
      <x:c r="E634" t="str">
        <x:v>161</x:v>
      </x:c>
      <x:c r="F634" t="str">
        <x:v>Schneider, Greec</x:v>
      </x:c>
      <x:c r="G634" s="6" t="n">
        <x:v>342</x:v>
      </x:c>
      <x:c r="H634" s="6" t="n">
        <x:v>0</x:v>
      </x:c>
      <x:c r="I634" s="6" t="n">
        <x:f>G634-H634</x:f>
        <x:v>342</x:v>
      </x:c>
      <x:c r="J634" t="str">
        <x:v>20230101_2613</x:v>
      </x:c>
    </x:row>
    <x:row r="635">
      <x:c r="A635" t="n">
        <x:v>1552</x:v>
      </x:c>
      <x:c r="B635" t="n">
        <x:v>11900</x:v>
      </x:c>
      <x:c r="C635" s="8" t="n">
        <x:v>44987.5</x:v>
      </x:c>
      <x:c r="D635" t="str">
        <x:v>168</x:v>
      </x:c>
      <x:c r="E635" t="str">
        <x:v>168</x:v>
      </x:c>
      <x:c r="F635" t="str">
        <x:v>Schneider, Greece</x:v>
      </x:c>
      <x:c r="G635" s="6" t="n">
        <x:v>318</x:v>
      </x:c>
      <x:c r="H635" s="6" t="n">
        <x:v>0</x:v>
      </x:c>
      <x:c r="I635" s="6" t="n">
        <x:f>G635-H635</x:f>
        <x:v>318</x:v>
      </x:c>
      <x:c r="J635" t="str">
        <x:v>20230101_2638</x:v>
      </x:c>
    </x:row>
    <x:row r="636">
      <x:c r="A636" t="n">
        <x:v>1553</x:v>
      </x:c>
      <x:c r="B636" t="n">
        <x:v>11900</x:v>
      </x:c>
      <x:c r="C636" s="8" t="n">
        <x:v>45013.5</x:v>
      </x:c>
      <x:c r="D636" t="str">
        <x:v>214</x:v>
      </x:c>
      <x:c r="E636" t="str">
        <x:v>214</x:v>
      </x:c>
      <x:c r="F636" t="str">
        <x:v>Schaumburg, Costa Rica</x:v>
      </x:c>
      <x:c r="G636" s="6" t="n">
        <x:v>3529</x:v>
      </x:c>
      <x:c r="H636" s="6" t="n">
        <x:v>0</x:v>
      </x:c>
      <x:c r="I636" s="6" t="n">
        <x:f>G636-H636</x:f>
        <x:v>3529</x:v>
      </x:c>
      <x:c r="J636" t="str">
        <x:v>20230101_2731</x:v>
      </x:c>
    </x:row>
    <x:row r="637">
      <x:c r="A637" t="n">
        <x:v>1554</x:v>
      </x:c>
      <x:c r="B637" t="n">
        <x:v>11900</x:v>
      </x:c>
      <x:c r="C637" s="8" t="n">
        <x:v>45014.5</x:v>
      </x:c>
      <x:c r="D637" t="str">
        <x:v>217</x:v>
      </x:c>
      <x:c r="E637" t="str">
        <x:v>217</x:v>
      </x:c>
      <x:c r="F637" t="str">
        <x:v>Schrapp, Costa Rica</x:v>
      </x:c>
      <x:c r="G637" s="6" t="n">
        <x:v>2460</x:v>
      </x:c>
      <x:c r="H637" s="6" t="n">
        <x:v>0</x:v>
      </x:c>
      <x:c r="I637" s="6" t="n">
        <x:f>G637-H637</x:f>
        <x:v>2460</x:v>
      </x:c>
      <x:c r="J637" t="str">
        <x:v>20230101_2735</x:v>
      </x:c>
    </x:row>
    <x:row r="638">
      <x:c r="A638" t="n">
        <x:v>1555</x:v>
      </x:c>
      <x:c r="B638" t="n">
        <x:v>11900</x:v>
      </x:c>
      <x:c r="C638" s="8" t="n">
        <x:v>45019.5</x:v>
      </x:c>
      <x:c r="D638" t="str">
        <x:v>228</x:v>
      </x:c>
      <x:c r="E638" t="str">
        <x:v>228</x:v>
      </x:c>
      <x:c r="F638" t="str">
        <x:v>SChmiucker, Greece</x:v>
      </x:c>
      <x:c r="G638" s="6" t="n">
        <x:v>152</x:v>
      </x:c>
      <x:c r="H638" s="6" t="n">
        <x:v>0</x:v>
      </x:c>
      <x:c r="I638" s="6" t="n">
        <x:f>G638-H638</x:f>
        <x:v>152</x:v>
      </x:c>
      <x:c r="J638" t="str">
        <x:v>20230101_2751</x:v>
      </x:c>
    </x:row>
    <x:row r="639">
      <x:c r="A639" t="n">
        <x:v>1566</x:v>
      </x:c>
      <x:c r="B639" t="n">
        <x:v>11900</x:v>
      </x:c>
      <x:c r="C639" s="8" t="n">
        <x:v>45034.5</x:v>
      </x:c>
      <x:c r="D639" t="str">
        <x:v>2023%249</x:v>
      </x:c>
      <x:c r="E639" t="str">
        <x:v>2023%249</x:v>
      </x:c>
      <x:c r="F639" t="str">
        <x:v>Leon Schwab</x:v>
      </x:c>
      <x:c r="G639" s="6" t="n">
        <x:v>2200</x:v>
      </x:c>
      <x:c r="H639" s="6" t="n">
        <x:v>0</x:v>
      </x:c>
      <x:c r="I639" s="6" t="n">
        <x:f>G639-H639</x:f>
        <x:v>2200</x:v>
      </x:c>
      <x:c r="J639" t="str">
        <x:v>20230101_2838</x:v>
      </x:c>
    </x:row>
    <x:row r="640">
      <x:c r="A640" t="n">
        <x:v>1567</x:v>
      </x:c>
      <x:c r="B640" t="n">
        <x:v>11900</x:v>
      </x:c>
      <x:c r="C640" s="8" t="n">
        <x:v>45069.5</x:v>
      </x:c>
      <x:c r="D640" t="str">
        <x:v>2023%281</x:v>
      </x:c>
      <x:c r="E640" t="str">
        <x:v>2023%281</x:v>
      </x:c>
      <x:c r="F640" t="str">
        <x:v>Smilla Schostok</x:v>
      </x:c>
      <x:c r="G640" s="6" t="n">
        <x:v>454</x:v>
      </x:c>
      <x:c r="H640" s="6" t="n">
        <x:v>0</x:v>
      </x:c>
      <x:c r="I640" s="6" t="n">
        <x:f>G640-H640</x:f>
        <x:v>454</x:v>
      </x:c>
      <x:c r="J640" t="str">
        <x:v>20230101_2997</x:v>
      </x:c>
    </x:row>
    <x:row r="641">
      <x:c r="A641" t="n">
        <x:v>1568</x:v>
      </x:c>
      <x:c r="B641" t="n">
        <x:v>11900</x:v>
      </x:c>
      <x:c r="C641" s="8" t="n">
        <x:v>45083.5</x:v>
      </x:c>
      <x:c r="D641" t="str">
        <x:v>2023%288</x:v>
      </x:c>
      <x:c r="E641" t="str">
        <x:v>2023%288</x:v>
      </x:c>
      <x:c r="F641" t="str">
        <x:v>Femke Schäfer</x:v>
      </x:c>
      <x:c r="G641" s="6" t="n">
        <x:v>262</x:v>
      </x:c>
      <x:c r="H641" s="6" t="n">
        <x:v>0</x:v>
      </x:c>
      <x:c r="I641" s="6" t="n">
        <x:f>G641-H641</x:f>
        <x:v>262</x:v>
      </x:c>
      <x:c r="J641" t="str">
        <x:v>20230101_3040</x:v>
      </x:c>
    </x:row>
    <x:row r="642">
      <x:c r="A642" t="n">
        <x:v>1569</x:v>
      </x:c>
      <x:c r="B642" t="n">
        <x:v>11900</x:v>
      </x:c>
      <x:c r="C642" s="8" t="n">
        <x:v>45084.5</x:v>
      </x:c>
      <x:c r="D642" t="str">
        <x:v>2023%291</x:v>
      </x:c>
      <x:c r="E642" t="str">
        <x:v>2023%291</x:v>
      </x:c>
      <x:c r="F642" t="str">
        <x:v>Seedje Schoon</x:v>
      </x:c>
      <x:c r="G642" s="6" t="n">
        <x:v>260</x:v>
      </x:c>
      <x:c r="H642" s="6" t="n">
        <x:v>0</x:v>
      </x:c>
      <x:c r="I642" s="6" t="n">
        <x:f>G642-H642</x:f>
        <x:v>260</x:v>
      </x:c>
      <x:c r="J642" t="str">
        <x:v>20230101_3051</x:v>
      </x:c>
    </x:row>
    <x:row r="643">
      <x:c r="A643" t="n">
        <x:v>1570</x:v>
      </x:c>
      <x:c r="B643" t="n">
        <x:v>11900</x:v>
      </x:c>
      <x:c r="C643" s="8" t="n">
        <x:v>45090.5</x:v>
      </x:c>
      <x:c r="D643" t="str">
        <x:v>2023%297</x:v>
      </x:c>
      <x:c r="E643" t="str">
        <x:v>2023%297</x:v>
      </x:c>
      <x:c r="F643" t="str">
        <x:v>Janina Schröder</x:v>
      </x:c>
      <x:c r="G643" s="6" t="n">
        <x:v>970</x:v>
      </x:c>
      <x:c r="H643" s="6" t="n">
        <x:v>0</x:v>
      </x:c>
      <x:c r="I643" s="6" t="n">
        <x:f>G643-H643</x:f>
        <x:v>970</x:v>
      </x:c>
      <x:c r="J643" t="str">
        <x:v>20230101_3072</x:v>
      </x:c>
    </x:row>
    <x:row r="644">
      <x:c r="A644" t="n">
        <x:v>1571</x:v>
      </x:c>
      <x:c r="B644" t="n">
        <x:v>11900</x:v>
      </x:c>
      <x:c r="C644" s="8" t="n">
        <x:v>45101.5</x:v>
      </x:c>
      <x:c r="D644" t="str">
        <x:v>2023%312</x:v>
      </x:c>
      <x:c r="E644" t="str">
        <x:v>2023%312</x:v>
      </x:c>
      <x:c r="F644" t="str">
        <x:v>Joyce Scherer</x:v>
      </x:c>
      <x:c r="G644" s="6" t="n">
        <x:v>2290</x:v>
      </x:c>
      <x:c r="H644" s="6" t="n">
        <x:v>0</x:v>
      </x:c>
      <x:c r="I644" s="6" t="n">
        <x:f>G644-H644</x:f>
        <x:v>2290</x:v>
      </x:c>
      <x:c r="J644" t="str">
        <x:v>20230101_3142</x:v>
      </x:c>
    </x:row>
    <x:row r="645">
      <x:c r="A645" t="n">
        <x:v>1572</x:v>
      </x:c>
      <x:c r="B645" t="n">
        <x:v>11900</x:v>
      </x:c>
      <x:c r="C645" s="8" t="n">
        <x:v>45117.5</x:v>
      </x:c>
      <x:c r="D645" t="str">
        <x:v>2023%323</x:v>
      </x:c>
      <x:c r="E645" t="str">
        <x:v>2023%323</x:v>
      </x:c>
      <x:c r="F645" t="str">
        <x:v>Scheuner</x:v>
      </x:c>
      <x:c r="G645" s="6" t="n">
        <x:v>884</x:v>
      </x:c>
      <x:c r="H645" s="6" t="n">
        <x:v>0</x:v>
      </x:c>
      <x:c r="I645" s="6" t="n">
        <x:f>G645-H645</x:f>
        <x:v>884</x:v>
      </x:c>
      <x:c r="J645" t="str">
        <x:v>119000000_2023%323_R5</x:v>
      </x:c>
    </x:row>
    <x:row r="646">
      <x:c r="A646" t="n">
        <x:v>1573</x:v>
      </x:c>
      <x:c r="B646" t="n">
        <x:v>11900</x:v>
      </x:c>
      <x:c r="C646" s="8" t="n">
        <x:v>45140.5</x:v>
      </x:c>
      <x:c r="D646" t="str">
        <x:v>2023%340</x:v>
      </x:c>
      <x:c r="E646" t="str">
        <x:v>2023%340</x:v>
      </x:c>
      <x:c r="F646" t="str">
        <x:v>Schultz</x:v>
      </x:c>
      <x:c r="G646" s="6" t="n">
        <x:v>1210</x:v>
      </x:c>
      <x:c r="H646" s="6" t="n">
        <x:v>0</x:v>
      </x:c>
      <x:c r="I646" s="6" t="n">
        <x:f>G646-H646</x:f>
        <x:v>1210</x:v>
      </x:c>
      <x:c r="J646" t="str">
        <x:v>20230101_3282</x:v>
      </x:c>
    </x:row>
    <x:row r="647">
      <x:c r="A647" t="n">
        <x:v>1574</x:v>
      </x:c>
      <x:c r="B647" t="n">
        <x:v>11900</x:v>
      </x:c>
      <x:c r="C647" s="8" t="n">
        <x:v>45195.5</x:v>
      </x:c>
      <x:c r="D647" t="str">
        <x:v>2023%369</x:v>
      </x:c>
      <x:c r="E647" t="str">
        <x:v>2023%369</x:v>
      </x:c>
      <x:c r="F647" t="str">
        <x:v>Scheurich</x:v>
      </x:c>
      <x:c r="G647" s="6" t="n">
        <x:v>10750</x:v>
      </x:c>
      <x:c r="H647" s="6" t="n">
        <x:v>0</x:v>
      </x:c>
      <x:c r="I647" s="6" t="n">
        <x:f>G647-H647</x:f>
        <x:v>10750</x:v>
      </x:c>
      <x:c r="J647" t="str">
        <x:v>20230101_3372</x:v>
      </x:c>
    </x:row>
    <x:row r="648">
      <x:c r="A648" t="n">
        <x:v>1575</x:v>
      </x:c>
      <x:c r="B648" t="n">
        <x:v>11900</x:v>
      </x:c>
      <x:c r="C648" s="8" t="n">
        <x:v>45338.5</x:v>
      </x:c>
      <x:c r="D648" t="str">
        <x:v>2023%369</x:v>
      </x:c>
      <x:c r="E648" t="str">
        <x:v>2023%369</x:v>
      </x:c>
      <x:c r="F648" t="str">
        <x:v>Umb. 10069 Scheurich 2023-369</x:v>
      </x:c>
      <x:c r="G648" s="6" t="n">
        <x:v>0</x:v>
      </x:c>
      <x:c r="H648" s="6" t="n">
        <x:v>2150</x:v>
      </x:c>
      <x:c r="I648" s="6" t="n">
        <x:f>G648-H648</x:f>
        <x:v>-2150</x:v>
      </x:c>
      <x:c r="J648" t="str">
        <x:v>20240101_9636</x:v>
      </x:c>
    </x:row>
    <x:row r="649">
      <x:c r="A649" t="n">
        <x:v>1576</x:v>
      </x:c>
      <x:c r="B649" t="n">
        <x:v>11900</x:v>
      </x:c>
      <x:c r="C649" s="8" t="n">
        <x:v>45446.5</x:v>
      </x:c>
      <x:c r="D649" t="str">
        <x:v>2023%369</x:v>
      </x:c>
      <x:c r="E649" t="str">
        <x:v>2023%369</x:v>
      </x:c>
      <x:c r="F649" t="str">
        <x:v>Umb. 10069 Scheurich Ida</x:v>
      </x:c>
      <x:c r="G649" s="6" t="n">
        <x:v>0</x:v>
      </x:c>
      <x:c r="H649" s="6" t="n">
        <x:v>6450</x:v>
      </x:c>
      <x:c r="I649" s="6" t="n">
        <x:f>G649-H649</x:f>
        <x:v>-6450</x:v>
      </x:c>
      <x:c r="J649" t="str">
        <x:v>20240101_9662</x:v>
      </x:c>
    </x:row>
    <x:row r="650">
      <x:c r="A650" t="n">
        <x:v>1577</x:v>
      </x:c>
      <x:c r="B650" t="n">
        <x:v>11900</x:v>
      </x:c>
      <x:c r="C650" s="8" t="n">
        <x:v>45195.5</x:v>
      </x:c>
      <x:c r="D650" t="str">
        <x:v>2023%371</x:v>
      </x:c>
      <x:c r="E650" t="str">
        <x:v>2023%371</x:v>
      </x:c>
      <x:c r="F650" t="str">
        <x:v>Schmucker</x:v>
      </x:c>
      <x:c r="G650" s="6" t="n">
        <x:v>970</x:v>
      </x:c>
      <x:c r="H650" s="6" t="n">
        <x:v>0</x:v>
      </x:c>
      <x:c r="I650" s="6" t="n">
        <x:f>G650-H650</x:f>
        <x:v>970</x:v>
      </x:c>
      <x:c r="J650" t="str">
        <x:v>20230101_3374</x:v>
      </x:c>
    </x:row>
    <x:row r="651">
      <x:c r="A651" t="n">
        <x:v>1578</x:v>
      </x:c>
      <x:c r="B651" t="n">
        <x:v>11900</x:v>
      </x:c>
      <x:c r="C651" s="8" t="n">
        <x:v>45247.5</x:v>
      </x:c>
      <x:c r="D651" t="str">
        <x:v>2023%390</x:v>
      </x:c>
      <x:c r="E651" t="str">
        <x:v>2023%390</x:v>
      </x:c>
      <x:c r="F651" t="str">
        <x:v>Schulte-Altedorneburg</x:v>
      </x:c>
      <x:c r="G651" s="6" t="n">
        <x:v>710</x:v>
      </x:c>
      <x:c r="H651" s="6" t="n">
        <x:v>0</x:v>
      </x:c>
      <x:c r="I651" s="6" t="n">
        <x:f>G651-H651</x:f>
        <x:v>710</x:v>
      </x:c>
      <x:c r="J651" t="str">
        <x:v>20230101_3457</x:v>
      </x:c>
    </x:row>
    <x:row r="652">
      <x:c r="A652" t="n">
        <x:v>1579</x:v>
      </x:c>
      <x:c r="B652" t="n">
        <x:v>11900</x:v>
      </x:c>
      <x:c r="C652" s="8" t="n">
        <x:v>45467.5</x:v>
      </x:c>
      <x:c r="D652" t="str">
        <x:v>2023%390</x:v>
      </x:c>
      <x:c r="E652" t="str">
        <x:v>2023%390</x:v>
      </x:c>
      <x:c r="F652" t="str">
        <x:v>Umb. 10069 Marie Schulte 2023-390</x:v>
      </x:c>
      <x:c r="G652" s="6" t="n">
        <x:v>0</x:v>
      </x:c>
      <x:c r="H652" s="6" t="n">
        <x:v>574</x:v>
      </x:c>
      <x:c r="I652" s="6" t="n">
        <x:f>G652-H652</x:f>
        <x:v>-574</x:v>
      </x:c>
      <x:c r="J652" t="str">
        <x:v>20240101_9666</x:v>
      </x:c>
    </x:row>
    <x:row r="653">
      <x:c r="A653" t="n">
        <x:v>1580</x:v>
      </x:c>
      <x:c r="B653" t="n">
        <x:v>11900</x:v>
      </x:c>
      <x:c r="C653" s="8" t="n">
        <x:v>45260.5</x:v>
      </x:c>
      <x:c r="D653" t="str">
        <x:v>2023%402</x:v>
      </x:c>
      <x:c r="E653" t="str">
        <x:v>2023%402</x:v>
      </x:c>
      <x:c r="F653" t="str">
        <x:v>Schyma / Haasis</x:v>
      </x:c>
      <x:c r="G653" s="6" t="n">
        <x:v>15550</x:v>
      </x:c>
      <x:c r="H653" s="6" t="n">
        <x:v>0</x:v>
      </x:c>
      <x:c r="I653" s="6" t="n">
        <x:f>G653-H653</x:f>
        <x:v>15550</x:v>
      </x:c>
      <x:c r="J653" t="str">
        <x:v>20230101_3479</x:v>
      </x:c>
    </x:row>
    <x:row r="654">
      <x:c r="A654" t="n">
        <x:v>1581</x:v>
      </x:c>
      <x:c r="B654" t="n">
        <x:v>11900</x:v>
      </x:c>
      <x:c r="C654" s="8" t="n">
        <x:v>45296.5</x:v>
      </x:c>
      <x:c r="D654" t="str">
        <x:v>2023%402</x:v>
      </x:c>
      <x:c r="E654" t="str">
        <x:v>2023%402</x:v>
      </x:c>
      <x:c r="F654" t="str">
        <x:v>Umb. 10069 Leon Schyma</x:v>
      </x:c>
      <x:c r="G654" s="6" t="n">
        <x:v>0</x:v>
      </x:c>
      <x:c r="H654" s="6" t="n">
        <x:v>6000</x:v>
      </x:c>
      <x:c r="I654" s="6" t="n">
        <x:f>G654-H654</x:f>
        <x:v>-6000</x:v>
      </x:c>
      <x:c r="J654" t="str">
        <x:v>20240101_9606</x:v>
      </x:c>
    </x:row>
    <x:row r="655">
      <x:c r="A655" t="n">
        <x:v>1582</x:v>
      </x:c>
      <x:c r="B655" t="n">
        <x:v>11900</x:v>
      </x:c>
      <x:c r="C655" s="8" t="n">
        <x:v>45299.5</x:v>
      </x:c>
      <x:c r="D655" t="str">
        <x:v>2023%402</x:v>
      </x:c>
      <x:c r="E655" t="str">
        <x:v>2023%402</x:v>
      </x:c>
      <x:c r="F655" t="str">
        <x:v>Umb. 10069 Leon Schyma 2023-402</x:v>
      </x:c>
      <x:c r="G655" s="6" t="n">
        <x:v>0</x:v>
      </x:c>
      <x:c r="H655" s="6" t="n">
        <x:v>2000</x:v>
      </x:c>
      <x:c r="I655" s="6" t="n">
        <x:f>G655-H655</x:f>
        <x:v>-2000</x:v>
      </x:c>
      <x:c r="J655" t="str">
        <x:v>20240101_9612</x:v>
      </x:c>
    </x:row>
    <x:row r="656">
      <x:c r="A656" t="n">
        <x:v>1583</x:v>
      </x:c>
      <x:c r="B656" t="n">
        <x:v>11900</x:v>
      </x:c>
      <x:c r="C656" s="8" t="n">
        <x:v>45299.5</x:v>
      </x:c>
      <x:c r="D656" t="str">
        <x:v>2023%402</x:v>
      </x:c>
      <x:c r="E656" t="str">
        <x:v>2023%402</x:v>
      </x:c>
      <x:c r="F656" t="str">
        <x:v>Umb. 10069 Leon Schyma 2023-402</x:v>
      </x:c>
      <x:c r="G656" s="6" t="n">
        <x:v>0</x:v>
      </x:c>
      <x:c r="H656" s="6" t="n">
        <x:v>1330</x:v>
      </x:c>
      <x:c r="I656" s="6" t="n">
        <x:f>G656-H656</x:f>
        <x:v>-1330</x:v>
      </x:c>
      <x:c r="J656" t="str">
        <x:v>20240101_9614</x:v>
      </x:c>
    </x:row>
    <x:row r="657">
      <x:c r="A657" t="n">
        <x:v>1584</x:v>
      </x:c>
      <x:c r="B657" t="n">
        <x:v>11900</x:v>
      </x:c>
      <x:c r="C657" s="8" t="n">
        <x:v>45271.5</x:v>
      </x:c>
      <x:c r="D657" t="str">
        <x:v>2023%410</x:v>
      </x:c>
      <x:c r="E657" t="str">
        <x:v>2023%410</x:v>
      </x:c>
      <x:c r="F657" t="str">
        <x:v>Schmoll</x:v>
      </x:c>
      <x:c r="G657" s="6" t="n">
        <x:v>4550</x:v>
      </x:c>
      <x:c r="H657" s="6" t="n">
        <x:v>0</x:v>
      </x:c>
      <x:c r="I657" s="6" t="n">
        <x:f>G657-H657</x:f>
        <x:v>4550</x:v>
      </x:c>
      <x:c r="J657" t="str">
        <x:v>20230101_3505</x:v>
      </x:c>
    </x:row>
    <x:row r="658">
      <x:c r="A658" t="n">
        <x:v>1585</x:v>
      </x:c>
      <x:c r="B658" t="n">
        <x:v>11900</x:v>
      </x:c>
      <x:c r="C658" s="8" t="n">
        <x:v>45443.5</x:v>
      </x:c>
      <x:c r="D658" t="str">
        <x:v>2023%410</x:v>
      </x:c>
      <x:c r="E658" t="str">
        <x:v>2023%410</x:v>
      </x:c>
      <x:c r="F658" t="str">
        <x:v>Umb. 10069 Kathrin Schmoll 2023-410</x:v>
      </x:c>
      <x:c r="G658" s="6" t="n">
        <x:v>0</x:v>
      </x:c>
      <x:c r="H658" s="6" t="n">
        <x:v>3640</x:v>
      </x:c>
      <x:c r="I658" s="6" t="n">
        <x:f>G658-H658</x:f>
        <x:v>-3640</x:v>
      </x:c>
      <x:c r="J658" t="str">
        <x:v>20240101_9658</x:v>
      </x:c>
    </x:row>
    <x:row r="659">
      <x:c r="A659" t="n">
        <x:v>1586</x:v>
      </x:c>
      <x:c r="B659" t="n">
        <x:v>11900</x:v>
      </x:c>
      <x:c r="C659" s="8" t="n">
        <x:v>45113.5</x:v>
      </x:c>
      <x:c r="D659" t="str">
        <x:v>27%%Feb</x:v>
      </x:c>
      <x:c r="E659" t="str">
        <x:v>27%%Feb</x:v>
      </x:c>
      <x:c r="F659" t="str">
        <x:v>Annabelle Schwarz</x:v>
      </x:c>
      <x:c r="G659" s="6" t="n">
        <x:v>216.4</x:v>
      </x:c>
      <x:c r="H659" s="6" t="n">
        <x:v>0</x:v>
      </x:c>
      <x:c r="I659" s="6" t="n">
        <x:f>G659-H659</x:f>
        <x:v>216.4</x:v>
      </x:c>
      <x:c r="J659" t="str">
        <x:v>20230101_3192</x:v>
      </x:c>
    </x:row>
    <x:row r="660">
      <x:c r="A660" t="n">
        <x:v>1587</x:v>
      </x:c>
      <x:c r="B660" t="n">
        <x:v>11900</x:v>
      </x:c>
      <x:c r="C660" s="8" t="n">
        <x:v>45029.5</x:v>
      </x:c>
      <x:c r="D660" t="str">
        <x:v>VRNeu28/2</x:v>
      </x:c>
      <x:c r="E660" t="str">
        <x:v>VRNeu28/2</x:v>
      </x:c>
      <x:c r="F660" t="str">
        <x:v>SChrapp 2023-217</x:v>
      </x:c>
      <x:c r="G660" s="6" t="n">
        <x:v>0</x:v>
      </x:c>
      <x:c r="H660" s="6" t="n">
        <x:v>500</x:v>
      </x:c>
      <x:c r="I660" s="6" t="n">
        <x:f>G660-H660</x:f>
        <x:v>-500</x:v>
      </x:c>
      <x:c r="J660" t="str">
        <x:v>20230101_2813</x:v>
      </x:c>
    </x:row>
    <x:row r="661">
      <x:c r="A661" t="n">
        <x:v>1588</x:v>
      </x:c>
      <x:c r="B661" t="n">
        <x:v>11900</x:v>
      </x:c>
      <x:c r="C661" s="8" t="n">
        <x:v>45030.5</x:v>
      </x:c>
      <x:c r="D661" t="str">
        <x:v>VRNeu28/3</x:v>
      </x:c>
      <x:c r="E661" t="str">
        <x:v>VRNeu28/3</x:v>
      </x:c>
      <x:c r="F661" t="str">
        <x:v>SChaumburg 2023-214</x:v>
      </x:c>
      <x:c r="G661" s="6" t="n">
        <x:v>0</x:v>
      </x:c>
      <x:c r="H661" s="6" t="n">
        <x:v>705.8</x:v>
      </x:c>
      <x:c r="I661" s="6" t="n">
        <x:f>G661-H661</x:f>
        <x:v>-705.8</x:v>
      </x:c>
      <x:c r="J661" t="str">
        <x:v>20230101_2825</x:v>
      </x:c>
    </x:row>
    <x:row r="662">
      <x:c r="A662" t="n">
        <x:v>1589</x:v>
      </x:c>
      <x:c r="B662" t="n">
        <x:v>11900</x:v>
      </x:c>
      <x:c r="C662" s="8" t="n">
        <x:v>45063.5</x:v>
      </x:c>
      <x:c r="D662" t="str">
        <x:v>VRNeu30/1</x:v>
      </x:c>
      <x:c r="E662" t="str">
        <x:v>VRNeu30/1</x:v>
      </x:c>
      <x:c r="F662" t="str">
        <x:v>Schmucker Jessica</x:v>
      </x:c>
      <x:c r="G662" s="6" t="n">
        <x:v>0</x:v>
      </x:c>
      <x:c r="H662" s="6" t="n">
        <x:v>152</x:v>
      </x:c>
      <x:c r="I662" s="6" t="n">
        <x:f>G662-H662</x:f>
        <x:v>-152</x:v>
      </x:c>
      <x:c r="J662" t="str">
        <x:v>20230101_2974</x:v>
      </x:c>
    </x:row>
    <x:row r="663">
      <x:c r="A663" t="n">
        <x:v>1590</x:v>
      </x:c>
      <x:c r="B663" t="n">
        <x:v>11900</x:v>
      </x:c>
      <x:c r="C663" s="8" t="n">
        <x:v>45041.5</x:v>
      </x:c>
      <x:c r="D663" t="str">
        <x:v>VRNeu33/2</x:v>
      </x:c>
      <x:c r="E663" t="str">
        <x:v>VRNeu33/2</x:v>
      </x:c>
      <x:c r="F663" t="str">
        <x:v>SChwab 2023-249</x:v>
      </x:c>
      <x:c r="G663" s="6" t="n">
        <x:v>0</x:v>
      </x:c>
      <x:c r="H663" s="6" t="n">
        <x:v>440</x:v>
      </x:c>
      <x:c r="I663" s="6" t="n">
        <x:f>G663-H663</x:f>
        <x:v>-440</x:v>
      </x:c>
      <x:c r="J663" t="str">
        <x:v>20230101_2886</x:v>
      </x:c>
    </x:row>
    <x:row r="664">
      <x:c r="A664" t="n">
        <x:v>1591</x:v>
      </x:c>
      <x:c r="B664" t="n">
        <x:v>11900</x:v>
      </x:c>
      <x:c r="C664" s="8" t="n">
        <x:v>45057.5</x:v>
      </x:c>
      <x:c r="D664" t="str">
        <x:v>VRNeu39/1</x:v>
      </x:c>
      <x:c r="E664" t="str">
        <x:v>VRNeu39/1</x:v>
      </x:c>
      <x:c r="F664" t="str">
        <x:v>Scheel 2023-125</x:v>
      </x:c>
      <x:c r="G664" s="6" t="n">
        <x:v>0</x:v>
      </x:c>
      <x:c r="H664" s="6" t="n">
        <x:v>173.2</x:v>
      </x:c>
      <x:c r="I664" s="6" t="n">
        <x:f>G664-H664</x:f>
        <x:v>-173.2</x:v>
      </x:c>
      <x:c r="J664" t="str">
        <x:v>20230101_2953</x:v>
      </x:c>
    </x:row>
    <x:row r="665">
      <x:c r="A665" t="n">
        <x:v>1592</x:v>
      </x:c>
      <x:c r="B665" t="n">
        <x:v>11900</x:v>
      </x:c>
      <x:c r="C665" s="8" t="n">
        <x:v>45096.5</x:v>
      </x:c>
      <x:c r="D665" t="str">
        <x:v>VRNeu50/3</x:v>
      </x:c>
      <x:c r="E665" t="str">
        <x:v>VRNeu50/3</x:v>
      </x:c>
      <x:c r="F665" t="str">
        <x:v>SChäfer 2023_288</x:v>
      </x:c>
      <x:c r="G665" s="6" t="n">
        <x:v>0</x:v>
      </x:c>
      <x:c r="H665" s="6" t="n">
        <x:v>262</x:v>
      </x:c>
      <x:c r="I665" s="6" t="n">
        <x:f>G665-H665</x:f>
        <x:v>-262</x:v>
      </x:c>
      <x:c r="J665" t="str">
        <x:v>20230101_3121</x:v>
      </x:c>
    </x:row>
    <x:row r="666">
      <x:c r="A666" t="n">
        <x:v>1593</x:v>
      </x:c>
      <x:c r="B666" t="n">
        <x:v>11900</x:v>
      </x:c>
      <x:c r="C666" s="8" t="n">
        <x:v>45100.5</x:v>
      </x:c>
      <x:c r="D666" t="str">
        <x:v>VRNeu51/3</x:v>
      </x:c>
      <x:c r="E666" t="str">
        <x:v>VRNeu51/3</x:v>
      </x:c>
      <x:c r="F666" t="str">
        <x:v>SChroeder Jessica 2023_297</x:v>
      </x:c>
      <x:c r="G666" s="6" t="n">
        <x:v>0</x:v>
      </x:c>
      <x:c r="H666" s="6" t="n">
        <x:v>970</x:v>
      </x:c>
      <x:c r="I666" s="6" t="n">
        <x:f>G666-H666</x:f>
        <x:v>-970</x:v>
      </x:c>
      <x:c r="J666" t="str">
        <x:v>20230101_3133</x:v>
      </x:c>
    </x:row>
    <x:row r="667">
      <x:c r="A667" t="n">
        <x:v>1594</x:v>
      </x:c>
      <x:c r="B667" t="n">
        <x:v>11900</x:v>
      </x:c>
      <x:c r="C667" s="8" t="n">
        <x:v>45111.5</x:v>
      </x:c>
      <x:c r="D667" t="str">
        <x:v>VRNeu52/2</x:v>
      </x:c>
      <x:c r="E667" t="str">
        <x:v>VRNeu52/2</x:v>
      </x:c>
      <x:c r="F667" t="str">
        <x:v>Schorb 2023 127</x:v>
      </x:c>
      <x:c r="G667" s="6" t="n">
        <x:v>0</x:v>
      </x:c>
      <x:c r="H667" s="6" t="n">
        <x:v>1008</x:v>
      </x:c>
      <x:c r="I667" s="6" t="n">
        <x:f>G667-H667</x:f>
        <x:v>-1008</x:v>
      </x:c>
      <x:c r="J667" t="str">
        <x:v>20230101_3187</x:v>
      </x:c>
    </x:row>
    <x:row r="668">
      <x:c r="A668" t="n">
        <x:v>1595</x:v>
      </x:c>
      <x:c r="B668" t="n">
        <x:v>11900</x:v>
      </x:c>
      <x:c r="C668" s="8" t="n">
        <x:v>45117.5</x:v>
      </x:c>
      <x:c r="D668" t="str">
        <x:v>VRNeu53/2</x:v>
      </x:c>
      <x:c r="E668" t="str">
        <x:v>VRNeu53/2</x:v>
      </x:c>
      <x:c r="F668" t="str">
        <x:v>Scherer 2023 312</x:v>
      </x:c>
      <x:c r="G668" s="6" t="n">
        <x:v>0</x:v>
      </x:c>
      <x:c r="H668" s="6" t="n">
        <x:v>458</x:v>
      </x:c>
      <x:c r="I668" s="6" t="n">
        <x:f>G668-H668</x:f>
        <x:v>-458</x:v>
      </x:c>
      <x:c r="J668" t="str">
        <x:v>20230101_3201</x:v>
      </x:c>
    </x:row>
    <x:row r="669">
      <x:c r="A669" t="n">
        <x:v>1596</x:v>
      </x:c>
      <x:c r="B669" t="n">
        <x:v>11900</x:v>
      </x:c>
      <x:c r="C669" s="8" t="n">
        <x:v>45118.5</x:v>
      </x:c>
      <x:c r="D669" t="str">
        <x:v>VRNeu54/1</x:v>
      </x:c>
      <x:c r="E669" t="str">
        <x:v>VRNeu54/1</x:v>
      </x:c>
      <x:c r="F669" t="str">
        <x:v>Schneider 2023 168</x:v>
      </x:c>
      <x:c r="G669" s="6" t="n">
        <x:v>0</x:v>
      </x:c>
      <x:c r="H669" s="6" t="n">
        <x:v>1272</x:v>
      </x:c>
      <x:c r="I669" s="6" t="n">
        <x:f>G669-H669</x:f>
        <x:v>-1272</x:v>
      </x:c>
      <x:c r="J669" t="str">
        <x:v>20230101_3202</x:v>
      </x:c>
    </x:row>
    <x:row r="670">
      <x:c r="A670" t="n">
        <x:v>1597</x:v>
      </x:c>
      <x:c r="B670" t="n">
        <x:v>11900</x:v>
      </x:c>
      <x:c r="C670" s="8" t="n">
        <x:v>45118.5</x:v>
      </x:c>
      <x:c r="D670" t="str">
        <x:v>VRNeu54/1</x:v>
      </x:c>
      <x:c r="E670" t="str">
        <x:v>VRNeu54/1</x:v>
      </x:c>
      <x:c r="F670" t="str">
        <x:v>Simone Schneider 2023 161</x:v>
      </x:c>
      <x:c r="G670" s="6" t="n">
        <x:v>0</x:v>
      </x:c>
      <x:c r="H670" s="6" t="n">
        <x:v>312</x:v>
      </x:c>
      <x:c r="I670" s="6" t="n">
        <x:f>G670-H670</x:f>
        <x:v>-312</x:v>
      </x:c>
      <x:c r="J670" t="str">
        <x:v>20230101_3203</x:v>
      </x:c>
    </x:row>
    <x:row r="671">
      <x:c r="A671" t="n">
        <x:v>1598</x:v>
      </x:c>
      <x:c r="B671" t="n">
        <x:v>11900</x:v>
      </x:c>
      <x:c r="C671" s="8" t="n">
        <x:v>45118.5</x:v>
      </x:c>
      <x:c r="D671" t="str">
        <x:v>VRNeu54/1</x:v>
      </x:c>
      <x:c r="E671" t="str">
        <x:v>VRNeu54/1</x:v>
      </x:c>
      <x:c r="F671" t="str">
        <x:v>Simone Schneider</x:v>
      </x:c>
      <x:c r="G671" s="6" t="n">
        <x:v>0</x:v>
      </x:c>
      <x:c r="H671" s="6" t="n">
        <x:v>342</x:v>
      </x:c>
      <x:c r="I671" s="6" t="n">
        <x:f>G671-H671</x:f>
        <x:v>-342</x:v>
      </x:c>
      <x:c r="J671" t="str">
        <x:v>20230101_3204</x:v>
      </x:c>
    </x:row>
    <x:row r="672">
      <x:c r="A672" t="n">
        <x:v>1599</x:v>
      </x:c>
      <x:c r="B672" t="n">
        <x:v>11900</x:v>
      </x:c>
      <x:c r="C672" s="8" t="n">
        <x:v>45127.5</x:v>
      </x:c>
      <x:c r="D672" t="str">
        <x:v>VRNeu56/1</x:v>
      </x:c>
      <x:c r="E672" t="str">
        <x:v>VRNeu56/1</x:v>
      </x:c>
      <x:c r="F672" t="str">
        <x:v>Scheuner 2023 323</x:v>
      </x:c>
      <x:c r="G672" s="6" t="n">
        <x:v>0</x:v>
      </x:c>
      <x:c r="H672" s="6" t="n">
        <x:v>432</x:v>
      </x:c>
      <x:c r="I672" s="6" t="n">
        <x:f>G672-H672</x:f>
        <x:v>-432</x:v>
      </x:c>
      <x:c r="J672" t="str">
        <x:v>20230101_3238</x:v>
      </x:c>
    </x:row>
    <x:row r="673">
      <x:c r="A673" t="n">
        <x:v>1600</x:v>
      </x:c>
      <x:c r="B673" t="n">
        <x:v>11900</x:v>
      </x:c>
      <x:c r="C673" s="8" t="n">
        <x:v>45135.5</x:v>
      </x:c>
      <x:c r="D673" t="str">
        <x:v>VRNeu58/4</x:v>
      </x:c>
      <x:c r="E673" t="str">
        <x:v>VRNeu58/4</x:v>
      </x:c>
      <x:c r="F673" t="str">
        <x:v>SChoon  2023-291</x:v>
      </x:c>
      <x:c r="G673" s="6" t="n">
        <x:v>0</x:v>
      </x:c>
      <x:c r="H673" s="6" t="n">
        <x:v>63</x:v>
      </x:c>
      <x:c r="I673" s="6" t="n">
        <x:f>G673-H673</x:f>
        <x:v>-63</x:v>
      </x:c>
      <x:c r="J673" t="str">
        <x:v>20230101_3272</x:v>
      </x:c>
    </x:row>
    <x:row r="674">
      <x:c r="A674" t="n">
        <x:v>1601</x:v>
      </x:c>
      <x:c r="B674" t="n">
        <x:v>11900</x:v>
      </x:c>
      <x:c r="C674" s="8" t="n">
        <x:v>45141.5</x:v>
      </x:c>
      <x:c r="D674" t="str">
        <x:v>VRNeu60/4</x:v>
      </x:c>
      <x:c r="E674" t="str">
        <x:v>VRNeu60/4</x:v>
      </x:c>
      <x:c r="F674" t="str">
        <x:v>Schoon 2023-291</x:v>
      </x:c>
      <x:c r="G674" s="6" t="n">
        <x:v>0</x:v>
      </x:c>
      <x:c r="H674" s="6" t="n">
        <x:v>197</x:v>
      </x:c>
      <x:c r="I674" s="6" t="n">
        <x:f>G674-H674</x:f>
        <x:v>-197</x:v>
      </x:c>
      <x:c r="J674" t="str">
        <x:v>20230101_3286</x:v>
      </x:c>
    </x:row>
    <x:row r="675">
      <x:c r="A675" t="n">
        <x:v>1602</x:v>
      </x:c>
      <x:c r="B675" t="n">
        <x:v>11900</x:v>
      </x:c>
      <x:c r="C675" s="8" t="n">
        <x:v>45142.5</x:v>
      </x:c>
      <x:c r="D675" t="str">
        <x:v>VRNeu60/5</x:v>
      </x:c>
      <x:c r="E675" t="str">
        <x:v>VRNeu60/5</x:v>
      </x:c>
      <x:c r="F675" t="str">
        <x:v>SChultz 2023-340</x:v>
      </x:c>
      <x:c r="G675" s="6" t="n">
        <x:v>0</x:v>
      </x:c>
      <x:c r="H675" s="6" t="n">
        <x:v>242</x:v>
      </x:c>
      <x:c r="I675" s="6" t="n">
        <x:f>G675-H675</x:f>
        <x:v>-242</x:v>
      </x:c>
      <x:c r="J675" t="str">
        <x:v>20230101_3291</x:v>
      </x:c>
    </x:row>
    <x:row r="676">
      <x:c r="A676" t="n">
        <x:v>1603</x:v>
      </x:c>
      <x:c r="B676" t="n">
        <x:v>11900</x:v>
      </x:c>
      <x:c r="C676" s="8" t="n">
        <x:v>45149.5</x:v>
      </x:c>
      <x:c r="D676" t="str">
        <x:v>VRNeu63/2</x:v>
      </x:c>
      <x:c r="E676" t="str">
        <x:v>VRNeu63/2</x:v>
      </x:c>
      <x:c r="F676" t="str">
        <x:v>Scherer 2023-312</x:v>
      </x:c>
      <x:c r="G676" s="6" t="n">
        <x:v>0</x:v>
      </x:c>
      <x:c r="H676" s="6" t="n">
        <x:v>1832</x:v>
      </x:c>
      <x:c r="I676" s="6" t="n">
        <x:f>G676-H676</x:f>
        <x:v>-1832</x:v>
      </x:c>
      <x:c r="J676" t="str">
        <x:v>20230101_3301</x:v>
      </x:c>
    </x:row>
    <x:row r="677">
      <x:c r="A677" t="n">
        <x:v>1604</x:v>
      </x:c>
      <x:c r="B677" t="n">
        <x:v>11900</x:v>
      </x:c>
      <x:c r="C677" s="8" t="n">
        <x:v>45176.5</x:v>
      </x:c>
      <x:c r="D677" t="str">
        <x:v>VRNeu69</x:v>
      </x:c>
      <x:c r="E677" t="str">
        <x:v>VRNeu69</x:v>
      </x:c>
      <x:c r="F677" t="str">
        <x:v>Schwarz 2023-322</x:v>
      </x:c>
      <x:c r="G677" s="6" t="n">
        <x:v>0</x:v>
      </x:c>
      <x:c r="H677" s="6" t="n">
        <x:v>216.4</x:v>
      </x:c>
      <x:c r="I677" s="6" t="n">
        <x:f>G677-H677</x:f>
        <x:v>-216.4</x:v>
      </x:c>
      <x:c r="J677" t="str">
        <x:v>20230101_3345</x:v>
      </x:c>
    </x:row>
    <x:row r="678">
      <x:c r="A678" t="n">
        <x:v>1605</x:v>
      </x:c>
      <x:c r="B678" t="n">
        <x:v>11900</x:v>
      </x:c>
      <x:c r="C678" s="8" t="n">
        <x:v>45187.5</x:v>
      </x:c>
      <x:c r="D678" t="str">
        <x:v>VRNeu72/1</x:v>
      </x:c>
      <x:c r="E678" t="str">
        <x:v>VRNeu72/1</x:v>
      </x:c>
      <x:c r="F678" t="str">
        <x:v>Schrapp 2023-217</x:v>
      </x:c>
      <x:c r="G678" s="6" t="n">
        <x:v>0</x:v>
      </x:c>
      <x:c r="H678" s="6" t="n">
        <x:v>2064</x:v>
      </x:c>
      <x:c r="I678" s="6" t="n">
        <x:f>G678-H678</x:f>
        <x:v>-2064</x:v>
      </x:c>
      <x:c r="J678" t="str">
        <x:v>20230101_3361</x:v>
      </x:c>
    </x:row>
    <x:row r="679">
      <x:c r="A679" t="n">
        <x:v>1606</x:v>
      </x:c>
      <x:c r="B679" t="n">
        <x:v>11900</x:v>
      </x:c>
      <x:c r="C679" s="8" t="n">
        <x:v>45208.5</x:v>
      </x:c>
      <x:c r="D679" t="str">
        <x:v>VRNeu78/1</x:v>
      </x:c>
      <x:c r="E679" t="str">
        <x:v>VRNeu78/1</x:v>
      </x:c>
      <x:c r="F679" t="str">
        <x:v>Scheurich 2023-369</x:v>
      </x:c>
      <x:c r="G679" s="6" t="n">
        <x:v>0</x:v>
      </x:c>
      <x:c r="H679" s="6" t="n">
        <x:v>2150</x:v>
      </x:c>
      <x:c r="I679" s="6" t="n">
        <x:f>G679-H679</x:f>
        <x:v>-2150</x:v>
      </x:c>
      <x:c r="J679" t="str">
        <x:v>20230101_3383</x:v>
      </x:c>
    </x:row>
    <x:row r="680">
      <x:c r="A680" t="n">
        <x:v>1607</x:v>
      </x:c>
      <x:c r="B680" t="n">
        <x:v>11900</x:v>
      </x:c>
      <x:c r="C680" s="8" t="n">
        <x:v>45208.5</x:v>
      </x:c>
      <x:c r="D680" t="str">
        <x:v>VRNeu78/1</x:v>
      </x:c>
      <x:c r="E680" t="str">
        <x:v>VRNeu78/1</x:v>
      </x:c>
      <x:c r="F680" t="str">
        <x:v>Schultz 2023-340</x:v>
      </x:c>
      <x:c r="G680" s="6" t="n">
        <x:v>0</x:v>
      </x:c>
      <x:c r="H680" s="6" t="n">
        <x:v>968</x:v>
      </x:c>
      <x:c r="I680" s="6" t="n">
        <x:f>G680-H680</x:f>
        <x:v>-968</x:v>
      </x:c>
      <x:c r="J680" t="str">
        <x:v>20230101_3384</x:v>
      </x:c>
    </x:row>
    <x:row r="681">
      <x:c r="A681" t="n">
        <x:v>1608</x:v>
      </x:c>
      <x:c r="B681" t="n">
        <x:v>11900</x:v>
      </x:c>
      <x:c r="C681" s="8" t="n">
        <x:v>45211.5</x:v>
      </x:c>
      <x:c r="D681" t="str">
        <x:v>VRNeu80/1</x:v>
      </x:c>
      <x:c r="E681" t="str">
        <x:v>VRNeu80/1</x:v>
      </x:c>
      <x:c r="F681" t="str">
        <x:v>Schmucker 2023-371</x:v>
      </x:c>
      <x:c r="G681" s="6" t="n">
        <x:v>0</x:v>
      </x:c>
      <x:c r="H681" s="6" t="n">
        <x:v>970</x:v>
      </x:c>
      <x:c r="I681" s="6" t="n">
        <x:f>G681-H681</x:f>
        <x:v>-970</x:v>
      </x:c>
      <x:c r="J681" t="str">
        <x:v>20230101_3394</x:v>
      </x:c>
    </x:row>
    <x:row r="682">
      <x:c r="A682" t="n">
        <x:v>1609</x:v>
      </x:c>
      <x:c r="B682" t="n">
        <x:v>11900</x:v>
      </x:c>
      <x:c r="C682" s="8" t="n">
        <x:v>45232.5</x:v>
      </x:c>
      <x:c r="D682" t="str">
        <x:v>VRNeu85/2</x:v>
      </x:c>
      <x:c r="E682" t="str">
        <x:v>VRNeu85/2</x:v>
      </x:c>
      <x:c r="F682" t="str">
        <x:v>Schneider 2023_168</x:v>
      </x:c>
      <x:c r="G682" s="6" t="n">
        <x:v>0</x:v>
      </x:c>
      <x:c r="H682" s="6" t="n">
        <x:v>318</x:v>
      </x:c>
      <x:c r="I682" s="6" t="n">
        <x:f>G682-H682</x:f>
        <x:v>-318</x:v>
      </x:c>
      <x:c r="J682" t="str">
        <x:v>20230101_3439</x:v>
      </x:c>
    </x:row>
    <x:row r="683">
      <x:c r="A683" t="n">
        <x:v>1610</x:v>
      </x:c>
      <x:c r="B683" t="n">
        <x:v>11900</x:v>
      </x:c>
      <x:c r="C683" s="8" t="n">
        <x:v>44970.5</x:v>
      </x:c>
      <x:c r="D683" t="str">
        <x:v>VRNeu9/1</x:v>
      </x:c>
      <x:c r="E683" t="str">
        <x:v>VRNeu9/1</x:v>
      </x:c>
      <x:c r="F683" t="str">
        <x:v>Schorb Klaus 2023-127</x:v>
      </x:c>
      <x:c r="G683" s="6" t="n">
        <x:v>0</x:v>
      </x:c>
      <x:c r="H683" s="6" t="n">
        <x:v>252</x:v>
      </x:c>
      <x:c r="I683" s="6" t="n">
        <x:f>G683-H683</x:f>
        <x:v>-252</x:v>
      </x:c>
      <x:c r="J683" t="str">
        <x:v>20230101_2568</x:v>
      </x:c>
    </x:row>
    <x:row r="684">
      <x:c r="A684" t="n">
        <x:v>1611</x:v>
      </x:c>
      <x:c r="B684" t="n">
        <x:v>11900</x:v>
      </x:c>
      <x:c r="C684" s="8" t="n">
        <x:v>45252.5</x:v>
      </x:c>
      <x:c r="D684" t="str">
        <x:v>VRNeu90/1</x:v>
      </x:c>
      <x:c r="E684" t="str">
        <x:v>VRNeu90/1</x:v>
      </x:c>
      <x:c r="F684" t="str">
        <x:v>Schaumburg2023-214</x:v>
      </x:c>
      <x:c r="G684" s="6" t="n">
        <x:v>0</x:v>
      </x:c>
      <x:c r="H684" s="6" t="n">
        <x:v>2823.2</x:v>
      </x:c>
      <x:c r="I684" s="6" t="n">
        <x:f>G684-H684</x:f>
        <x:v>-2823.2</x:v>
      </x:c>
      <x:c r="J684" t="str">
        <x:v>20230101_3464</x:v>
      </x:c>
    </x:row>
    <x:row r="685">
      <x:c r="A685" t="n">
        <x:v>1612</x:v>
      </x:c>
      <x:c r="B685" t="n">
        <x:v>11900</x:v>
      </x:c>
      <x:c r="C685" s="8" t="n">
        <x:v>45253.5</x:v>
      </x:c>
      <x:c r="D685" t="str">
        <x:v>VRNeu90/1</x:v>
      </x:c>
      <x:c r="E685" t="str">
        <x:v>VRNeu90/1</x:v>
      </x:c>
      <x:c r="F685" t="str">
        <x:v>Schwab 2023-249</x:v>
      </x:c>
      <x:c r="G685" s="6" t="n">
        <x:v>0</x:v>
      </x:c>
      <x:c r="H685" s="6" t="n">
        <x:v>1760</x:v>
      </x:c>
      <x:c r="I685" s="6" t="n">
        <x:f>G685-H685</x:f>
        <x:v>-1760</x:v>
      </x:c>
      <x:c r="J685" t="str">
        <x:v>20230101_3465</x:v>
      </x:c>
    </x:row>
    <x:row r="686">
      <x:c r="A686" t="n">
        <x:v>1613</x:v>
      </x:c>
      <x:c r="B686" t="n">
        <x:v>11900</x:v>
      </x:c>
      <x:c r="C686" s="8" t="n">
        <x:v>45257.5</x:v>
      </x:c>
      <x:c r="D686" t="str">
        <x:v>VRNeu91/1</x:v>
      </x:c>
      <x:c r="E686" t="str">
        <x:v>VRNeu91/1</x:v>
      </x:c>
      <x:c r="F686" t="str">
        <x:v>SChulte-Altendorneburg 2023_390</x:v>
      </x:c>
      <x:c r="G686" s="6" t="n">
        <x:v>0</x:v>
      </x:c>
      <x:c r="H686" s="6" t="n">
        <x:v>136</x:v>
      </x:c>
      <x:c r="I686" s="6" t="n">
        <x:f>G686-H686</x:f>
        <x:v>-136</x:v>
      </x:c>
      <x:c r="J686" t="str">
        <x:v>20230101_3472</x:v>
      </x:c>
    </x:row>
    <x:row r="687">
      <x:c r="A687" t="n">
        <x:v>1614</x:v>
      </x:c>
      <x:c r="B687" t="n">
        <x:v>11900</x:v>
      </x:c>
      <x:c r="C687" s="8" t="n">
        <x:v>45266.5</x:v>
      </x:c>
      <x:c r="D687" t="str">
        <x:v>VRNeu94/3</x:v>
      </x:c>
      <x:c r="E687" t="str">
        <x:v>VRNeu94/3</x:v>
      </x:c>
      <x:c r="F687" t="str">
        <x:v>Schyma/ Haasis 2023_402</x:v>
      </x:c>
      <x:c r="G687" s="6" t="n">
        <x:v>0</x:v>
      </x:c>
      <x:c r="H687" s="6" t="n">
        <x:v>4000</x:v>
      </x:c>
      <x:c r="I687" s="6" t="n">
        <x:f>G687-H687</x:f>
        <x:v>-4000</x:v>
      </x:c>
      <x:c r="J687" t="str">
        <x:v>20230101_3502</x:v>
      </x:c>
    </x:row>
    <x:row r="688">
      <x:c r="A688" t="n">
        <x:v>1615</x:v>
      </x:c>
      <x:c r="B688" t="n">
        <x:v>11900</x:v>
      </x:c>
      <x:c r="C688" s="8" t="n">
        <x:v>45267.5</x:v>
      </x:c>
      <x:c r="D688" t="str">
        <x:v>VRNeu95/1</x:v>
      </x:c>
      <x:c r="E688" t="str">
        <x:v>VRNeu95/1</x:v>
      </x:c>
      <x:c r="F688" t="str">
        <x:v>Schyma/ Haasis 2023_402</x:v>
      </x:c>
      <x:c r="G688" s="6" t="n">
        <x:v>0</x:v>
      </x:c>
      <x:c r="H688" s="6" t="n">
        <x:v>2220</x:v>
      </x:c>
      <x:c r="I688" s="6" t="n">
        <x:f>G688-H688</x:f>
        <x:v>-2220</x:v>
      </x:c>
      <x:c r="J688" t="str">
        <x:v>20230101_3503</x:v>
      </x:c>
    </x:row>
    <x:row r="689">
      <x:c r="A689" t="n">
        <x:v>1616</x:v>
      </x:c>
      <x:c r="B689" t="n">
        <x:v>11900</x:v>
      </x:c>
      <x:c r="C689" s="8" t="n">
        <x:v>45275.5</x:v>
      </x:c>
      <x:c r="D689" t="str">
        <x:v>VRNeu98/1</x:v>
      </x:c>
      <x:c r="E689" t="str">
        <x:v>VRNeu98/1</x:v>
      </x:c>
      <x:c r="F689" t="str">
        <x:v>Schmoll 2023_410</x:v>
      </x:c>
      <x:c r="G689" s="6" t="n">
        <x:v>0</x:v>
      </x:c>
      <x:c r="H689" s="6" t="n">
        <x:v>920</x:v>
      </x:c>
      <x:c r="I689" s="6" t="n">
        <x:f>G689-H689</x:f>
        <x:v>-920</x:v>
      </x:c>
      <x:c r="J689" t="str">
        <x:v>20230101_3515</x:v>
      </x:c>
    </x:row>
    <x:row r="690">
      <x:c r="A690" t="n">
        <x:v>1617</x:v>
      </x:c>
      <x:c r="B690" t="n">
        <x:v>12000</x:v>
      </x:c>
      <x:c r="C690" s="8" t="n">
        <x:v>44927.5</x:v>
      </x:c>
      <x:c r="D690" t="str">
        <x:v>102</x:v>
      </x:c>
      <x:c r="E690" t="str">
        <x:v>102</x:v>
      </x:c>
      <x:c r="F690" t="str">
        <x:v>stec</x:v>
      </x:c>
      <x:c r="G690" s="6" t="n">
        <x:v>0</x:v>
      </x:c>
      <x:c r="H690" s="6" t="n">
        <x:v>168</x:v>
      </x:c>
      <x:c r="I690" s="6" t="n">
        <x:f>G690-H690</x:f>
        <x:v>-168</x:v>
      </x:c>
      <x:c r="J690" t="str">
        <x:v>20230101_3575</x:v>
      </x:c>
    </x:row>
    <x:row r="691">
      <x:c r="A691" t="n">
        <x:v>1618</x:v>
      </x:c>
      <x:c r="B691" t="n">
        <x:v>12000</x:v>
      </x:c>
      <x:c r="C691" s="8" t="n">
        <x:v>44935.5</x:v>
      </x:c>
      <x:c r="D691" t="str">
        <x:v>106</x:v>
      </x:c>
      <x:c r="E691" t="str">
        <x:v>106</x:v>
      </x:c>
      <x:c r="F691" t="str">
        <x:v>steiner costa rica</x:v>
      </x:c>
      <x:c r="G691" s="6" t="n">
        <x:v>10100</x:v>
      </x:c>
      <x:c r="H691" s="6" t="n">
        <x:v>0</x:v>
      </x:c>
      <x:c r="I691" s="6" t="n">
        <x:f>G691-H691</x:f>
        <x:v>10100</x:v>
      </x:c>
      <x:c r="J691" t="str">
        <x:v>20230101_2500</x:v>
      </x:c>
    </x:row>
    <x:row r="692">
      <x:c r="A692" t="n">
        <x:v>1619</x:v>
      </x:c>
      <x:c r="B692" t="n">
        <x:v>12000</x:v>
      </x:c>
      <x:c r="C692" s="8" t="n">
        <x:v>44960.5</x:v>
      </x:c>
      <x:c r="D692" t="str">
        <x:v>126</x:v>
      </x:c>
      <x:c r="E692" t="str">
        <x:v>126</x:v>
      </x:c>
      <x:c r="F692" t="str">
        <x:v>straub griechenland</x:v>
      </x:c>
      <x:c r="G692" s="6" t="n">
        <x:v>173.2</x:v>
      </x:c>
      <x:c r="H692" s="6" t="n">
        <x:v>0</x:v>
      </x:c>
      <x:c r="I692" s="6" t="n">
        <x:f>G692-H692</x:f>
        <x:v>173.2</x:v>
      </x:c>
      <x:c r="J692" t="str">
        <x:v>20230101_2546</x:v>
      </x:c>
    </x:row>
    <x:row r="693">
      <x:c r="A693" t="n">
        <x:v>1630</x:v>
      </x:c>
      <x:c r="B693" t="n">
        <x:v>12000</x:v>
      </x:c>
      <x:c r="C693" s="8" t="n">
        <x:v>44927.5</x:v>
      </x:c>
      <x:c r="D693" t="str">
        <x:v>227</x:v>
      </x:c>
      <x:c r="E693" t="str">
        <x:v>227</x:v>
      </x:c>
      <x:c r="F693" t="str">
        <x:v>sturmberg</x:v>
      </x:c>
      <x:c r="G693" s="6" t="n">
        <x:v>0</x:v>
      </x:c>
      <x:c r="H693" s="6" t="n">
        <x:v>688</x:v>
      </x:c>
      <x:c r="I693" s="6" t="n">
        <x:f>G693-H693</x:f>
        <x:v>-688</x:v>
      </x:c>
      <x:c r="J693" t="str">
        <x:v>20230101_2476</x:v>
      </x:c>
    </x:row>
    <x:row r="694">
      <x:c r="A694" t="n">
        <x:v>1631</x:v>
      </x:c>
      <x:c r="B694" t="n">
        <x:v>12000</x:v>
      </x:c>
      <x:c r="C694" s="8" t="n">
        <x:v>44927.5</x:v>
      </x:c>
      <x:c r="D694" t="str">
        <x:v>256</x:v>
      </x:c>
      <x:c r="E694" t="str">
        <x:v>256</x:v>
      </x:c>
      <x:c r="F694" t="str">
        <x:v>Vortragsaktualisierung</x:v>
      </x:c>
      <x:c r="G694" s="6" t="n">
        <x:v>3368</x:v>
      </x:c>
      <x:c r="H694" s="6" t="n">
        <x:v>0</x:v>
      </x:c>
      <x:c r="I694" s="6" t="n">
        <x:f>G694-H694</x:f>
        <x:v>3368</x:v>
      </x:c>
      <x:c r="J694" t="str">
        <x:v>20230101_2434</x:v>
      </x:c>
    </x:row>
    <x:row r="695">
      <x:c r="A695" t="n">
        <x:v>1632</x:v>
      </x:c>
      <x:c r="B695" t="n">
        <x:v>12000</x:v>
      </x:c>
      <x:c r="C695" s="8" t="n">
        <x:v>44927.5</x:v>
      </x:c>
      <x:c r="D695" t="str">
        <x:v>265</x:v>
      </x:c>
      <x:c r="E695" t="str">
        <x:v>265</x:v>
      </x:c>
      <x:c r="F695" t="str">
        <x:v>ströhle</x:v>
      </x:c>
      <x:c r="G695" s="6" t="n">
        <x:v>0</x:v>
      </x:c>
      <x:c r="H695" s="6" t="n">
        <x:v>168</x:v>
      </x:c>
      <x:c r="I695" s="6" t="n">
        <x:f>G695-H695</x:f>
        <x:v>-168</x:v>
      </x:c>
      <x:c r="J695" t="str">
        <x:v>20230101_2477</x:v>
      </x:c>
    </x:row>
    <x:row r="696">
      <x:c r="A696" t="n">
        <x:v>1633</x:v>
      </x:c>
      <x:c r="B696" t="n">
        <x:v>12000</x:v>
      </x:c>
      <x:c r="C696" s="8" t="n">
        <x:v>45251.5</x:v>
      </x:c>
      <x:c r="D696" t="str">
        <x:v>2023%393</x:v>
      </x:c>
      <x:c r="E696" t="str">
        <x:v>2023%393</x:v>
      </x:c>
      <x:c r="F696" t="str">
        <x:v>Steimel</x:v>
      </x:c>
      <x:c r="G696" s="6" t="n">
        <x:v>6180</x:v>
      </x:c>
      <x:c r="H696" s="6" t="n">
        <x:v>0</x:v>
      </x:c>
      <x:c r="I696" s="6" t="n">
        <x:f>G696-H696</x:f>
        <x:v>6180</x:v>
      </x:c>
      <x:c r="J696" t="str">
        <x:v>20230101_3460</x:v>
      </x:c>
    </x:row>
    <x:row r="697">
      <x:c r="A697" t="n">
        <x:v>1634</x:v>
      </x:c>
      <x:c r="B697" t="n">
        <x:v>12000</x:v>
      </x:c>
      <x:c r="C697" s="8" t="n">
        <x:v>45484.5</x:v>
      </x:c>
      <x:c r="D697" t="str">
        <x:v>2023%393</x:v>
      </x:c>
      <x:c r="E697" t="str">
        <x:v>2023%393</x:v>
      </x:c>
      <x:c r="F697" t="str">
        <x:v>Umb. 10069 Lena Steimel 2023-393</x:v>
      </x:c>
      <x:c r="G697" s="6" t="n">
        <x:v>0</x:v>
      </x:c>
      <x:c r="H697" s="6" t="n">
        <x:v>5444</x:v>
      </x:c>
      <x:c r="I697" s="6" t="n">
        <x:f>G697-H697</x:f>
        <x:v>-5444</x:v>
      </x:c>
      <x:c r="J697" t="str">
        <x:v>20240101_9670</x:v>
      </x:c>
    </x:row>
    <x:row r="698">
      <x:c r="A698" t="n">
        <x:v>1635</x:v>
      </x:c>
      <x:c r="B698" t="n">
        <x:v>12000</x:v>
      </x:c>
      <x:c r="C698" s="8" t="n">
        <x:v>44981.5</x:v>
      </x:c>
      <x:c r="D698" t="str">
        <x:v>VRNeu10</x:v>
      </x:c>
      <x:c r="E698" t="str">
        <x:v>VRNeu10</x:v>
      </x:c>
      <x:c r="F698" t="str">
        <x:v>Vanessa Standke</x:v>
      </x:c>
      <x:c r="G698" s="6" t="n">
        <x:v>45.8</x:v>
      </x:c>
      <x:c r="H698" s="6" t="n">
        <x:v>0</x:v>
      </x:c>
      <x:c r="I698" s="6" t="n">
        <x:f>G698-H698</x:f>
        <x:v>45.8</x:v>
      </x:c>
      <x:c r="J698" t="str">
        <x:v>20230101_2616</x:v>
      </x:c>
    </x:row>
    <x:row r="699">
      <x:c r="A699" t="n">
        <x:v>1636</x:v>
      </x:c>
      <x:c r="B699" t="n">
        <x:v>12000</x:v>
      </x:c>
      <x:c r="C699" s="8" t="n">
        <x:v>44938.5</x:v>
      </x:c>
      <x:c r="D699" t="str">
        <x:v>VRNeu3/1</x:v>
      </x:c>
      <x:c r="E699" t="str">
        <x:v>VRNeu3/1</x:v>
      </x:c>
      <x:c r="F699" t="str">
        <x:v>Steiner Stephan 2023-106</x:v>
      </x:c>
      <x:c r="G699" s="6" t="n">
        <x:v>0</x:v>
      </x:c>
      <x:c r="H699" s="6" t="n">
        <x:v>2020</x:v>
      </x:c>
      <x:c r="I699" s="6" t="n">
        <x:f>G699-H699</x:f>
        <x:v>-2020</x:v>
      </x:c>
      <x:c r="J699" t="str">
        <x:v>20230101_2513</x:v>
      </x:c>
    </x:row>
    <x:row r="700">
      <x:c r="A700" t="n">
        <x:v>1637</x:v>
      </x:c>
      <x:c r="B700" t="n">
        <x:v>12000</x:v>
      </x:c>
      <x:c r="C700" s="8" t="n">
        <x:v>44970.5</x:v>
      </x:c>
      <x:c r="D700" t="str">
        <x:v>VRNeu9/1</x:v>
      </x:c>
      <x:c r="E700" t="str">
        <x:v>VRNeu9/1</x:v>
      </x:c>
      <x:c r="F700" t="str">
        <x:v>Isabelle Stork 2023-267</x:v>
      </x:c>
      <x:c r="G700" s="6" t="n">
        <x:v>0</x:v>
      </x:c>
      <x:c r="H700" s="6" t="n">
        <x:v>1672</x:v>
      </x:c>
      <x:c r="I700" s="6" t="n">
        <x:f>G700-H700</x:f>
        <x:v>-1672</x:v>
      </x:c>
      <x:c r="J700" t="str">
        <x:v>20230101_2567</x:v>
      </x:c>
    </x:row>
    <x:row r="701">
      <x:c r="A701" t="n">
        <x:v>1638</x:v>
      </x:c>
      <x:c r="B701" t="n">
        <x:v>12000</x:v>
      </x:c>
      <x:c r="C701" s="8" t="n">
        <x:v>44973.5</x:v>
      </x:c>
      <x:c r="D701" t="str">
        <x:v>VRNeu9/1</x:v>
      </x:c>
      <x:c r="E701" t="str">
        <x:v>VRNeu9/1</x:v>
      </x:c>
      <x:c r="F701" t="str">
        <x:v>Nadimn Ströhle 2022-264</x:v>
      </x:c>
      <x:c r="G701" s="6" t="n">
        <x:v>0</x:v>
      </x:c>
      <x:c r="H701" s="6" t="n">
        <x:v>672</x:v>
      </x:c>
      <x:c r="I701" s="6" t="n">
        <x:f>G701-H701</x:f>
        <x:v>-672</x:v>
      </x:c>
      <x:c r="J701" t="str">
        <x:v>20230101_2580</x:v>
      </x:c>
    </x:row>
    <x:row r="702">
      <x:c r="A702" t="n">
        <x:v>1639</x:v>
      </x:c>
      <x:c r="B702" t="n">
        <x:v>12000</x:v>
      </x:c>
      <x:c r="C702" s="8" t="n">
        <x:v>44974.5</x:v>
      </x:c>
      <x:c r="D702" t="str">
        <x:v>VRNeu9/1</x:v>
      </x:c>
      <x:c r="E702" t="str">
        <x:v>VRNeu9/1</x:v>
      </x:c>
      <x:c r="F702" t="str">
        <x:v>Nadja Straub 2023-126</x:v>
      </x:c>
      <x:c r="G702" s="6" t="n">
        <x:v>0</x:v>
      </x:c>
      <x:c r="H702" s="6" t="n">
        <x:v>173.2</x:v>
      </x:c>
      <x:c r="I702" s="6" t="n">
        <x:f>G702-H702</x:f>
        <x:v>-173.2</x:v>
      </x:c>
      <x:c r="J702" t="str">
        <x:v>20230101_2582</x:v>
      </x:c>
    </x:row>
    <x:row r="703">
      <x:c r="A703" t="n">
        <x:v>1640</x:v>
      </x:c>
      <x:c r="B703" t="n">
        <x:v>12000</x:v>
      </x:c>
      <x:c r="C703" s="8" t="n">
        <x:v>45275.5</x:v>
      </x:c>
      <x:c r="D703" t="str">
        <x:v>VRNeu97/1</x:v>
      </x:c>
      <x:c r="E703" t="str">
        <x:v>VRNeu97/1</x:v>
      </x:c>
      <x:c r="F703" t="str">
        <x:v>Steimel 2023_393</x:v>
      </x:c>
      <x:c r="G703" s="6" t="n">
        <x:v>0</x:v>
      </x:c>
      <x:c r="H703" s="6" t="n">
        <x:v>1246</x:v>
      </x:c>
      <x:c r="I703" s="6" t="n">
        <x:f>G703-H703</x:f>
        <x:v>-1246</x:v>
      </x:c>
      <x:c r="J703" t="str">
        <x:v>20230101_3514</x:v>
      </x:c>
    </x:row>
    <x:row r="704">
      <x:c r="A704" t="n">
        <x:v>1670</x:v>
      </x:c>
      <x:c r="B704" t="n">
        <x:v>12100</x:v>
      </x:c>
      <x:c r="C704" s="8" t="n">
        <x:v>44956.5</x:v>
      </x:c>
      <x:c r="D704" t="str">
        <x:v>121</x:v>
      </x:c>
      <x:c r="E704" t="str">
        <x:v>121</x:v>
      </x:c>
      <x:c r="F704" t="str">
        <x:v>trumm costa rica</x:v>
      </x:c>
      <x:c r="G704" s="6" t="n">
        <x:v>1940</x:v>
      </x:c>
      <x:c r="H704" s="6" t="n">
        <x:v>0</x:v>
      </x:c>
      <x:c r="I704" s="6" t="n">
        <x:f>G704-H704</x:f>
        <x:v>1940</x:v>
      </x:c>
      <x:c r="J704" t="str">
        <x:v>20230101_2535</x:v>
      </x:c>
    </x:row>
    <x:row r="705">
      <x:c r="A705" t="n">
        <x:v>1671</x:v>
      </x:c>
      <x:c r="B705" t="n">
        <x:v>12100</x:v>
      </x:c>
      <x:c r="C705" s="8" t="n">
        <x:v>44977.5</x:v>
      </x:c>
      <x:c r="D705" t="str">
        <x:v>152</x:v>
      </x:c>
      <x:c r="E705" t="str">
        <x:v>152</x:v>
      </x:c>
      <x:c r="F705" t="str">
        <x:v>Treitz, Costa Rica</x:v>
      </x:c>
      <x:c r="G705" s="6" t="n">
        <x:v>3679</x:v>
      </x:c>
      <x:c r="H705" s="6" t="n">
        <x:v>0</x:v>
      </x:c>
      <x:c r="I705" s="6" t="n">
        <x:f>G705-H705</x:f>
        <x:v>3679</x:v>
      </x:c>
      <x:c r="J705" t="str">
        <x:v>20230101_2591</x:v>
      </x:c>
    </x:row>
    <x:row r="706">
      <x:c r="A706" t="n">
        <x:v>1672</x:v>
      </x:c>
      <x:c r="B706" t="n">
        <x:v>12100</x:v>
      </x:c>
      <x:c r="C706" s="8" t="n">
        <x:v>44994.5</x:v>
      </x:c>
      <x:c r="D706" t="str">
        <x:v>180</x:v>
      </x:c>
      <x:c r="E706" t="str">
        <x:v>180</x:v>
      </x:c>
      <x:c r="F706" t="str">
        <x:v>Tursun, Tansania</x:v>
      </x:c>
      <x:c r="G706" s="6" t="n">
        <x:v>840</x:v>
      </x:c>
      <x:c r="H706" s="6" t="n">
        <x:v>0</x:v>
      </x:c>
      <x:c r="I706" s="6" t="n">
        <x:f>G706-H706</x:f>
        <x:v>840</x:v>
      </x:c>
      <x:c r="J706" t="str">
        <x:v>20230101_2656</x:v>
      </x:c>
    </x:row>
    <x:row r="707">
      <x:c r="A707" t="n">
        <x:v>1673</x:v>
      </x:c>
      <x:c r="B707" t="n">
        <x:v>12100</x:v>
      </x:c>
      <x:c r="C707" s="8" t="n">
        <x:v>44994.5</x:v>
      </x:c>
      <x:c r="D707" t="str">
        <x:v>181</x:v>
      </x:c>
      <x:c r="E707" t="str">
        <x:v>181</x:v>
      </x:c>
      <x:c r="F707" t="str">
        <x:v>Tadje, Tansania</x:v>
      </x:c>
      <x:c r="G707" s="6" t="n">
        <x:v>840</x:v>
      </x:c>
      <x:c r="H707" s="6" t="n">
        <x:v>0</x:v>
      </x:c>
      <x:c r="I707" s="6" t="n">
        <x:f>G707-H707</x:f>
        <x:v>840</x:v>
      </x:c>
      <x:c r="J707" t="str">
        <x:v>20230101_2657</x:v>
      </x:c>
    </x:row>
    <x:row r="708">
      <x:c r="A708" t="n">
        <x:v>1674</x:v>
      </x:c>
      <x:c r="B708" t="n">
        <x:v>12100</x:v>
      </x:c>
      <x:c r="C708" s="8" t="n">
        <x:v>45006.5</x:v>
      </x:c>
      <x:c r="D708" t="str">
        <x:v>206</x:v>
      </x:c>
      <x:c r="E708" t="str">
        <x:v>206</x:v>
      </x:c>
      <x:c r="F708" t="str">
        <x:v>Thiel, Costa Rica</x:v>
      </x:c>
      <x:c r="G708" s="6" t="n">
        <x:v>3300</x:v>
      </x:c>
      <x:c r="H708" s="6" t="n">
        <x:v>0</x:v>
      </x:c>
      <x:c r="I708" s="6" t="n">
        <x:f>G708-H708</x:f>
        <x:v>3300</x:v>
      </x:c>
      <x:c r="J708" t="str">
        <x:v>20230101_2706</x:v>
      </x:c>
    </x:row>
    <x:row r="709">
      <x:c r="A709" t="n">
        <x:v>1675</x:v>
      </x:c>
      <x:c r="B709" t="n">
        <x:v>12100</x:v>
      </x:c>
      <x:c r="C709" s="8" t="n">
        <x:v>45000.5</x:v>
      </x:c>
      <x:c r="D709" t="str">
        <x:v>VRNeu18/3</x:v>
      </x:c>
      <x:c r="E709" t="str">
        <x:v>VRNeu18/3</x:v>
      </x:c>
      <x:c r="F709" t="str">
        <x:v>Rojin Tursun 2022-181</x:v>
      </x:c>
      <x:c r="G709" s="6" t="n">
        <x:v>0</x:v>
      </x:c>
      <x:c r="H709" s="6" t="n">
        <x:v>168</x:v>
      </x:c>
      <x:c r="I709" s="6" t="n">
        <x:f>G709-H709</x:f>
        <x:v>-168</x:v>
      </x:c>
      <x:c r="J709" t="str">
        <x:v>20230101_2690</x:v>
      </x:c>
    </x:row>
    <x:row r="710">
      <x:c r="A710" t="n">
        <x:v>1676</x:v>
      </x:c>
      <x:c r="B710" t="n">
        <x:v>12100</x:v>
      </x:c>
      <x:c r="C710" s="8" t="n">
        <x:v>45000.5</x:v>
      </x:c>
      <x:c r="D710" t="str">
        <x:v>VRNeu18/3</x:v>
      </x:c>
      <x:c r="E710" t="str">
        <x:v>VRNeu18/3</x:v>
      </x:c>
      <x:c r="F710" t="str">
        <x:v>Kristin Tadje 2022-182</x:v>
      </x:c>
      <x:c r="G710" s="6" t="n">
        <x:v>0</x:v>
      </x:c>
      <x:c r="H710" s="6" t="n">
        <x:v>168</x:v>
      </x:c>
      <x:c r="I710" s="6" t="n">
        <x:f>G710-H710</x:f>
        <x:v>-168</x:v>
      </x:c>
      <x:c r="J710" t="str">
        <x:v>20230101_2691</x:v>
      </x:c>
    </x:row>
    <x:row r="711">
      <x:c r="A711" t="n">
        <x:v>1677</x:v>
      </x:c>
      <x:c r="B711" t="n">
        <x:v>12100</x:v>
      </x:c>
      <x:c r="C711" s="8" t="n">
        <x:v>45034.5</x:v>
      </x:c>
      <x:c r="D711" t="str">
        <x:v>VRNeu30/2</x:v>
      </x:c>
      <x:c r="E711" t="str">
        <x:v>VRNeu30/2</x:v>
      </x:c>
      <x:c r="F711" t="str">
        <x:v>Thiel  2023-206</x:v>
      </x:c>
      <x:c r="G711" s="6" t="n">
        <x:v>0</x:v>
      </x:c>
      <x:c r="H711" s="6" t="n">
        <x:v>660</x:v>
      </x:c>
      <x:c r="I711" s="6" t="n">
        <x:f>G711-H711</x:f>
        <x:v>-660</x:v>
      </x:c>
      <x:c r="J711" t="str">
        <x:v>20230101_2844</x:v>
      </x:c>
    </x:row>
    <x:row r="712">
      <x:c r="A712" t="n">
        <x:v>1678</x:v>
      </x:c>
      <x:c r="B712" t="n">
        <x:v>12100</x:v>
      </x:c>
      <x:c r="C712" s="8" t="n">
        <x:v>45061.5</x:v>
      </x:c>
      <x:c r="D712" t="str">
        <x:v>VRNeu40/1</x:v>
      </x:c>
      <x:c r="E712" t="str">
        <x:v>VRNeu40/1</x:v>
      </x:c>
      <x:c r="F712" t="str">
        <x:v>Tursun 2023_180</x:v>
      </x:c>
      <x:c r="G712" s="6" t="n">
        <x:v>0</x:v>
      </x:c>
      <x:c r="H712" s="6" t="n">
        <x:v>672</x:v>
      </x:c>
      <x:c r="I712" s="6" t="n">
        <x:f>G712-H712</x:f>
        <x:v>-672</x:v>
      </x:c>
      <x:c r="J712" t="str">
        <x:v>20230101_2969</x:v>
      </x:c>
    </x:row>
    <x:row r="713">
      <x:c r="A713" t="n">
        <x:v>1679</x:v>
      </x:c>
      <x:c r="B713" t="n">
        <x:v>12100</x:v>
      </x:c>
      <x:c r="C713" s="8" t="n">
        <x:v>45065.5</x:v>
      </x:c>
      <x:c r="D713" t="str">
        <x:v>VRNeu41/2</x:v>
      </x:c>
      <x:c r="E713" t="str">
        <x:v>VRNeu41/2</x:v>
      </x:c>
      <x:c r="F713" t="str">
        <x:v>Tadje 2022_182</x:v>
      </x:c>
      <x:c r="G713" s="6" t="n">
        <x:v>0</x:v>
      </x:c>
      <x:c r="H713" s="6" t="n">
        <x:v>672</x:v>
      </x:c>
      <x:c r="I713" s="6" t="n">
        <x:f>G713-H713</x:f>
        <x:v>-672</x:v>
      </x:c>
      <x:c r="J713" t="str">
        <x:v>20230101_2987</x:v>
      </x:c>
    </x:row>
    <x:row r="714">
      <x:c r="A714" t="n">
        <x:v>1680</x:v>
      </x:c>
      <x:c r="B714" t="n">
        <x:v>12100</x:v>
      </x:c>
      <x:c r="C714" s="8" t="n">
        <x:v>45106.5</x:v>
      </x:c>
      <x:c r="D714" t="str">
        <x:v>VRNeu51/6</x:v>
      </x:c>
      <x:c r="E714" t="str">
        <x:v>VRNeu51/6</x:v>
      </x:c>
      <x:c r="F714" t="str">
        <x:v>Treitz Julie 2023_152</x:v>
      </x:c>
      <x:c r="G714" s="6" t="n">
        <x:v>0</x:v>
      </x:c>
      <x:c r="H714" s="6" t="n">
        <x:v>735.8</x:v>
      </x:c>
      <x:c r="I714" s="6" t="n">
        <x:f>G714-H714</x:f>
        <x:v>-735.8</x:v>
      </x:c>
      <x:c r="J714" t="str">
        <x:v>20230101_3184</x:v>
      </x:c>
    </x:row>
    <x:row r="715">
      <x:c r="A715" t="n">
        <x:v>1681</x:v>
      </x:c>
      <x:c r="B715" t="n">
        <x:v>12100</x:v>
      </x:c>
      <x:c r="C715" s="8" t="n">
        <x:v>44963.5</x:v>
      </x:c>
      <x:c r="D715" t="str">
        <x:v>VRNeu7/1</x:v>
      </x:c>
      <x:c r="E715" t="str">
        <x:v>VRNeu7/1</x:v>
      </x:c>
      <x:c r="F715" t="str">
        <x:v>Wolke Trumm</x:v>
      </x:c>
      <x:c r="G715" s="6" t="n">
        <x:v>0</x:v>
      </x:c>
      <x:c r="H715" s="6" t="n">
        <x:v>388</x:v>
      </x:c>
      <x:c r="I715" s="6" t="n">
        <x:f>G715-H715</x:f>
        <x:v>-388</x:v>
      </x:c>
      <x:c r="J715" t="str">
        <x:v>20230101_2551</x:v>
      </x:c>
    </x:row>
    <x:row r="716">
      <x:c r="A716" t="n">
        <x:v>1682</x:v>
      </x:c>
      <x:c r="B716" t="n">
        <x:v>12100</x:v>
      </x:c>
      <x:c r="C716" s="8" t="n">
        <x:v>45191.5</x:v>
      </x:c>
      <x:c r="D716" t="str">
        <x:v>VRNeu73/1</x:v>
      </x:c>
      <x:c r="E716" t="str">
        <x:v>VRNeu73/1</x:v>
      </x:c>
      <x:c r="F716" t="str">
        <x:v>Trumm</x:v>
      </x:c>
      <x:c r="G716" s="6" t="n">
        <x:v>0</x:v>
      </x:c>
      <x:c r="H716" s="6" t="n">
        <x:v>1552</x:v>
      </x:c>
      <x:c r="I716" s="6" t="n">
        <x:f>G716-H716</x:f>
        <x:v>-1552</x:v>
      </x:c>
      <x:c r="J716" t="str">
        <x:v>20230101_3366</x:v>
      </x:c>
    </x:row>
    <x:row r="717">
      <x:c r="A717" t="n">
        <x:v>1683</x:v>
      </x:c>
      <x:c r="B717" t="n">
        <x:v>12100</x:v>
      </x:c>
      <x:c r="C717" s="8" t="n">
        <x:v>45271.5</x:v>
      </x:c>
      <x:c r="D717" t="str">
        <x:v>VRNeu95/2</x:v>
      </x:c>
      <x:c r="E717" t="str">
        <x:v>VRNeu95/2</x:v>
      </x:c>
      <x:c r="F717" t="str">
        <x:v>Treitz 2023_152</x:v>
      </x:c>
      <x:c r="G717" s="6" t="n">
        <x:v>0</x:v>
      </x:c>
      <x:c r="H717" s="6" t="n">
        <x:v>2943.2</x:v>
      </x:c>
      <x:c r="I717" s="6" t="n">
        <x:f>G717-H717</x:f>
        <x:v>-2943.2</x:v>
      </x:c>
      <x:c r="J717" t="str">
        <x:v>20230101_3507</x:v>
      </x:c>
    </x:row>
    <x:row r="718">
      <x:c r="A718" t="n">
        <x:v>1697</x:v>
      </x:c>
      <x:c r="B718" t="n">
        <x:v>12300</x:v>
      </x:c>
      <x:c r="C718" s="8" t="n">
        <x:v>45012.5</x:v>
      </x:c>
      <x:c r="D718" t="str">
        <x:v>212</x:v>
      </x:c>
      <x:c r="E718" t="str">
        <x:v>212</x:v>
      </x:c>
      <x:c r="F718" t="str">
        <x:v>Voß, Costa Rica</x:v>
      </x:c>
      <x:c r="G718" s="6" t="n">
        <x:v>2554</x:v>
      </x:c>
      <x:c r="H718" s="6" t="n">
        <x:v>0</x:v>
      </x:c>
      <x:c r="I718" s="6" t="n">
        <x:f>G718-H718</x:f>
        <x:v>2554</x:v>
      </x:c>
      <x:c r="J718" t="str">
        <x:v>20230101_2723</x:v>
      </x:c>
    </x:row>
    <x:row r="719">
      <x:c r="A719" t="n">
        <x:v>1698</x:v>
      </x:c>
      <x:c r="B719" t="n">
        <x:v>12300</x:v>
      </x:c>
      <x:c r="C719" s="8" t="n">
        <x:v>45184.5</x:v>
      </x:c>
      <x:c r="D719" t="str">
        <x:v>212</x:v>
      </x:c>
      <x:c r="E719" t="str">
        <x:v>212</x:v>
      </x:c>
      <x:c r="F719" t="str">
        <x:v>Voss 2023-212</x:v>
      </x:c>
      <x:c r="G719" s="6" t="n">
        <x:v>0</x:v>
      </x:c>
      <x:c r="H719" s="6" t="n">
        <x:v>2043.2</x:v>
      </x:c>
      <x:c r="I719" s="6" t="n">
        <x:f>G719-H719</x:f>
        <x:v>-2043.2</x:v>
      </x:c>
      <x:c r="J719" t="str">
        <x:v>20230101_3359</x:v>
      </x:c>
    </x:row>
    <x:row r="720">
      <x:c r="A720" t="n">
        <x:v>1699</x:v>
      </x:c>
      <x:c r="B720" t="n">
        <x:v>12300</x:v>
      </x:c>
      <x:c r="C720" s="8" t="n">
        <x:v>45036.5</x:v>
      </x:c>
      <x:c r="D720" t="str">
        <x:v>255</x:v>
      </x:c>
      <x:c r="E720" t="str">
        <x:v>255</x:v>
      </x:c>
      <x:c r="F720" t="str">
        <x:v>Jana Vormbrocke</x:v>
      </x:c>
      <x:c r="G720" s="6" t="n">
        <x:v>440</x:v>
      </x:c>
      <x:c r="H720" s="6" t="n">
        <x:v>0</x:v>
      </x:c>
      <x:c r="I720" s="6" t="n">
        <x:f>G720-H720</x:f>
        <x:v>440</x:v>
      </x:c>
      <x:c r="J720" t="str">
        <x:v>20230101_2857</x:v>
      </x:c>
    </x:row>
    <x:row r="721">
      <x:c r="A721" t="n">
        <x:v>1700</x:v>
      </x:c>
      <x:c r="B721" t="n">
        <x:v>12300</x:v>
      </x:c>
      <x:c r="C721" s="8" t="n">
        <x:v>45040.5</x:v>
      </x:c>
      <x:c r="D721" t="str">
        <x:v>255</x:v>
      </x:c>
      <x:c r="E721" t="str">
        <x:v>255</x:v>
      </x:c>
      <x:c r="F721" t="str">
        <x:v>Vormbrocke 2023-255</x:v>
      </x:c>
      <x:c r="G721" s="6" t="n">
        <x:v>0</x:v>
      </x:c>
      <x:c r="H721" s="6" t="n">
        <x:v>176</x:v>
      </x:c>
      <x:c r="I721" s="6" t="n">
        <x:f>G721-H721</x:f>
        <x:v>-176</x:v>
      </x:c>
      <x:c r="J721" t="str">
        <x:v>20230101_2867</x:v>
      </x:c>
    </x:row>
    <x:row r="722">
      <x:c r="A722" t="n">
        <x:v>1701</x:v>
      </x:c>
      <x:c r="B722" t="n">
        <x:v>12300</x:v>
      </x:c>
      <x:c r="C722" s="8" t="n">
        <x:v>45058.5</x:v>
      </x:c>
      <x:c r="D722" t="str">
        <x:v>275</x:v>
      </x:c>
      <x:c r="E722" t="str">
        <x:v>275</x:v>
      </x:c>
      <x:c r="F722" t="str">
        <x:v>Maelle Van Hecke</x:v>
      </x:c>
      <x:c r="G722" s="6" t="n">
        <x:v>750</x:v>
      </x:c>
      <x:c r="H722" s="6" t="n">
        <x:v>0</x:v>
      </x:c>
      <x:c r="I722" s="6" t="n">
        <x:f>G722-H722</x:f>
        <x:v>750</x:v>
      </x:c>
      <x:c r="J722" t="str">
        <x:v>20230101_2962</x:v>
      </x:c>
    </x:row>
    <x:row r="723">
      <x:c r="A723" t="n">
        <x:v>1702</x:v>
      </x:c>
      <x:c r="B723" t="n">
        <x:v>12300</x:v>
      </x:c>
      <x:c r="C723" s="8" t="n">
        <x:v>45098.5</x:v>
      </x:c>
      <x:c r="D723" t="str">
        <x:v>275</x:v>
      </x:c>
      <x:c r="E723" t="str">
        <x:v>275</x:v>
      </x:c>
      <x:c r="F723" t="str">
        <x:v>Maelle van Hecke 2023_275</x:v>
      </x:c>
      <x:c r="G723" s="6" t="n">
        <x:v>0</x:v>
      </x:c>
      <x:c r="H723" s="6" t="n">
        <x:v>300</x:v>
      </x:c>
      <x:c r="I723" s="6" t="n">
        <x:f>G723-H723</x:f>
        <x:v>-300</x:v>
      </x:c>
      <x:c r="J723" t="str">
        <x:v>20230101_3130</x:v>
      </x:c>
    </x:row>
    <x:row r="724">
      <x:c r="A724" t="n">
        <x:v>1703</x:v>
      </x:c>
      <x:c r="B724" t="n">
        <x:v>12300</x:v>
      </x:c>
      <x:c r="C724" s="8" t="n">
        <x:v>45261.5</x:v>
      </x:c>
      <x:c r="D724" t="str">
        <x:v>405</x:v>
      </x:c>
      <x:c r="E724" t="str">
        <x:v>405</x:v>
      </x:c>
      <x:c r="F724" t="str">
        <x:v>Vanek/Scherer</x:v>
      </x:c>
      <x:c r="G724" s="6" t="n">
        <x:v>8900</x:v>
      </x:c>
      <x:c r="H724" s="6" t="n">
        <x:v>0</x:v>
      </x:c>
      <x:c r="I724" s="6" t="n">
        <x:f>G724-H724</x:f>
        <x:v>8900</x:v>
      </x:c>
      <x:c r="J724" t="str">
        <x:v>20230101_3486</x:v>
      </x:c>
    </x:row>
    <x:row r="725">
      <x:c r="A725" t="n">
        <x:v>1704</x:v>
      </x:c>
      <x:c r="B725" t="n">
        <x:v>12300</x:v>
      </x:c>
      <x:c r="C725" s="8" t="n">
        <x:v>45366.5</x:v>
      </x:c>
      <x:c r="D725" t="str">
        <x:v>405</x:v>
      </x:c>
      <x:c r="E725" t="str">
        <x:v>405</x:v>
      </x:c>
      <x:c r="F725" t="str">
        <x:v>Umb. 10069 Vanek Robert 2023-405</x:v>
      </x:c>
      <x:c r="G725" s="6" t="n">
        <x:v>0</x:v>
      </x:c>
      <x:c r="H725" s="6" t="n">
        <x:v>1780</x:v>
      </x:c>
      <x:c r="I725" s="6" t="n">
        <x:f>G725-H725</x:f>
        <x:v>-1780</x:v>
      </x:c>
      <x:c r="J725" t="str">
        <x:v>20240101_9650</x:v>
      </x:c>
    </x:row>
    <x:row r="726">
      <x:c r="A726" t="n">
        <x:v>1705</x:v>
      </x:c>
      <x:c r="B726" t="n">
        <x:v>12300</x:v>
      </x:c>
      <x:c r="C726" s="8" t="n">
        <x:v>45439.5</x:v>
      </x:c>
      <x:c r="D726" t="str">
        <x:v>405</x:v>
      </x:c>
      <x:c r="E726" t="str">
        <x:v>405</x:v>
      </x:c>
      <x:c r="F726" t="str">
        <x:v>Umb. 10069 Robert Vanek 2023-405</x:v>
      </x:c>
      <x:c r="G726" s="6" t="n">
        <x:v>0</x:v>
      </x:c>
      <x:c r="H726" s="6" t="n">
        <x:v>5340</x:v>
      </x:c>
      <x:c r="I726" s="6" t="n">
        <x:f>G726-H726</x:f>
        <x:v>-5340</x:v>
      </x:c>
      <x:c r="J726" t="str">
        <x:v>20240101_9652</x:v>
      </x:c>
    </x:row>
    <x:row r="727">
      <x:c r="A727" t="n">
        <x:v>1706</x:v>
      </x:c>
      <x:c r="B727" t="n">
        <x:v>12300</x:v>
      </x:c>
      <x:c r="C727" s="8" t="n">
        <x:v>45155.5</x:v>
      </x:c>
      <x:c r="D727" t="str">
        <x:v>2023%346</x:v>
      </x:c>
      <x:c r="E727" t="str">
        <x:v>2023%346</x:v>
      </x:c>
      <x:c r="F727" t="str">
        <x:v>Veitl</x:v>
      </x:c>
      <x:c r="G727" s="6" t="n">
        <x:v>925</x:v>
      </x:c>
      <x:c r="H727" s="6" t="n">
        <x:v>0</x:v>
      </x:c>
      <x:c r="I727" s="6" t="n">
        <x:f>G727-H727</x:f>
        <x:v>925</x:v>
      </x:c>
      <x:c r="J727" t="str">
        <x:v>20230101_3306</x:v>
      </x:c>
    </x:row>
    <x:row r="728">
      <x:c r="A728" t="n">
        <x:v>1707</x:v>
      </x:c>
      <x:c r="B728" t="n">
        <x:v>12300</x:v>
      </x:c>
      <x:c r="C728" s="8" t="n">
        <x:v>45007.5</x:v>
      </x:c>
      <x:c r="D728" t="str">
        <x:v>VRNeu20/1</x:v>
      </x:c>
      <x:c r="E728" t="str">
        <x:v>VRNeu20/1</x:v>
      </x:c>
      <x:c r="F728" t="str">
        <x:v>van Delden Stephanie 2023-382</x:v>
      </x:c>
      <x:c r="G728" s="6" t="n">
        <x:v>0</x:v>
      </x:c>
      <x:c r="H728" s="6" t="n">
        <x:v>176</x:v>
      </x:c>
      <x:c r="I728" s="6" t="n">
        <x:f>G728-H728</x:f>
        <x:v>-176</x:v>
      </x:c>
      <x:c r="J728" t="str">
        <x:v>20230101_2712</x:v>
      </x:c>
    </x:row>
    <x:row r="729">
      <x:c r="A729" t="n">
        <x:v>1708</x:v>
      </x:c>
      <x:c r="B729" t="n">
        <x:v>12300</x:v>
      </x:c>
      <x:c r="C729" s="8" t="n">
        <x:v>45265.5</x:v>
      </x:c>
      <x:c r="D729" t="str">
        <x:v>VRNeu94/2</x:v>
      </x:c>
      <x:c r="E729" t="str">
        <x:v>VRNeu94/2</x:v>
      </x:c>
      <x:c r="F729" t="str">
        <x:v>Scherer &amp; Vanek 2023_405</x:v>
      </x:c>
      <x:c r="G729" s="6" t="n">
        <x:v>0</x:v>
      </x:c>
      <x:c r="H729" s="6" t="n">
        <x:v>1780</x:v>
      </x:c>
      <x:c r="I729" s="6" t="n">
        <x:f>G729-H729</x:f>
        <x:v>-1780</x:v>
      </x:c>
      <x:c r="J729" t="str">
        <x:v>20230101_3497</x:v>
      </x:c>
    </x:row>
    <x:row r="730">
      <x:c r="A730" t="n">
        <x:v>1709</x:v>
      </x:c>
      <x:c r="B730" t="n">
        <x:v>12400</x:v>
      </x:c>
      <x:c r="C730" s="8" t="n">
        <x:v>44927.5</x:v>
      </x:c>
      <x:c r="D730" t="str">
        <x:v>3</x:v>
      </x:c>
      <x:c r="E730" t="str">
        <x:v>3</x:v>
      </x:c>
      <x:c r="F730" t="str">
        <x:v>wittmann</x:v>
      </x:c>
      <x:c r="G730" s="6" t="n">
        <x:v>0</x:v>
      </x:c>
      <x:c r="H730" s="6" t="n">
        <x:v>720</x:v>
      </x:c>
      <x:c r="I730" s="6" t="n">
        <x:f>G730-H730</x:f>
        <x:v>-720</x:v>
      </x:c>
      <x:c r="J730" t="str">
        <x:v>20230101_2480</x:v>
      </x:c>
    </x:row>
    <x:row r="731">
      <x:c r="A731" t="n">
        <x:v>1710</x:v>
      </x:c>
      <x:c r="B731" t="n">
        <x:v>12400</x:v>
      </x:c>
      <x:c r="C731" s="8" t="n">
        <x:v>44963.5</x:v>
      </x:c>
      <x:c r="D731" t="str">
        <x:v>128</x:v>
      </x:c>
      <x:c r="E731" t="str">
        <x:v>128</x:v>
      </x:c>
      <x:c r="F731" t="str">
        <x:v>wien costa rica</x:v>
      </x:c>
      <x:c r="G731" s="6" t="n">
        <x:v>481</x:v>
      </x:c>
      <x:c r="H731" s="6" t="n">
        <x:v>0</x:v>
      </x:c>
      <x:c r="I731" s="6" t="n">
        <x:f>G731-H731</x:f>
        <x:v>481</x:v>
      </x:c>
      <x:c r="J731" t="str">
        <x:v>20230101_2550</x:v>
      </x:c>
    </x:row>
    <x:row r="732">
      <x:c r="A732" t="n">
        <x:v>1711</x:v>
      </x:c>
      <x:c r="B732" t="n">
        <x:v>12400</x:v>
      </x:c>
      <x:c r="C732" s="8" t="n">
        <x:v>44965.5</x:v>
      </x:c>
      <x:c r="D732" t="str">
        <x:v>130</x:v>
      </x:c>
      <x:c r="E732" t="str">
        <x:v>130</x:v>
      </x:c>
      <x:c r="F732" t="str">
        <x:v>wolpert costa rica</x:v>
      </x:c>
      <x:c r="G732" s="6" t="n">
        <x:v>723</x:v>
      </x:c>
      <x:c r="H732" s="6" t="n">
        <x:v>0</x:v>
      </x:c>
      <x:c r="I732" s="6" t="n">
        <x:f>G732-H732</x:f>
        <x:v>723</x:v>
      </x:c>
      <x:c r="J732" t="str">
        <x:v>20230101_2555</x:v>
      </x:c>
    </x:row>
    <x:row r="733">
      <x:c r="A733" t="n">
        <x:v>1712</x:v>
      </x:c>
      <x:c r="B733" t="n">
        <x:v>12400</x:v>
      </x:c>
      <x:c r="C733" s="8" t="n">
        <x:v>44966.5</x:v>
      </x:c>
      <x:c r="D733" t="str">
        <x:v>133</x:v>
      </x:c>
      <x:c r="E733" t="str">
        <x:v>133</x:v>
      </x:c>
      <x:c r="F733" t="str">
        <x:v>wegner</x:v>
      </x:c>
      <x:c r="G733" s="6" t="n">
        <x:v>1260</x:v>
      </x:c>
      <x:c r="H733" s="6" t="n">
        <x:v>0</x:v>
      </x:c>
      <x:c r="I733" s="6" t="n">
        <x:f>G733-H733</x:f>
        <x:v>1260</x:v>
      </x:c>
      <x:c r="J733" t="str">
        <x:v>20230101_2559</x:v>
      </x:c>
    </x:row>
    <x:row r="734">
      <x:c r="A734" t="n">
        <x:v>1713</x:v>
      </x:c>
      <x:c r="B734" t="n">
        <x:v>12400</x:v>
      </x:c>
      <x:c r="C734" s="8" t="n">
        <x:v>44966.5</x:v>
      </x:c>
      <x:c r="D734" t="str">
        <x:v>134</x:v>
      </x:c>
      <x:c r="E734" t="str">
        <x:v>134</x:v>
      </x:c>
      <x:c r="F734" t="str">
        <x:v>wegner guatemala</x:v>
      </x:c>
      <x:c r="G734" s="6" t="n">
        <x:v>1400</x:v>
      </x:c>
      <x:c r="H734" s="6" t="n">
        <x:v>0</x:v>
      </x:c>
      <x:c r="I734" s="6" t="n">
        <x:f>G734-H734</x:f>
        <x:v>1400</x:v>
      </x:c>
      <x:c r="J734" t="str">
        <x:v>20230101_2560</x:v>
      </x:c>
    </x:row>
    <x:row r="735">
      <x:c r="A735" t="n">
        <x:v>1714</x:v>
      </x:c>
      <x:c r="B735" t="n">
        <x:v>12400</x:v>
      </x:c>
      <x:c r="C735" s="8" t="n">
        <x:v>44970.5</x:v>
      </x:c>
      <x:c r="D735" t="str">
        <x:v>139</x:v>
      </x:c>
      <x:c r="E735" t="str">
        <x:v>139</x:v>
      </x:c>
      <x:c r="F735" t="str">
        <x:v>Wittmann Costa Rica</x:v>
      </x:c>
      <x:c r="G735" s="6" t="n">
        <x:v>440</x:v>
      </x:c>
      <x:c r="H735" s="6" t="n">
        <x:v>0</x:v>
      </x:c>
      <x:c r="I735" s="6" t="n">
        <x:f>G735-H735</x:f>
        <x:v>440</x:v>
      </x:c>
      <x:c r="J735" t="str">
        <x:v>20230101_2565</x:v>
      </x:c>
    </x:row>
    <x:row r="736">
      <x:c r="A736" t="n">
        <x:v>1715</x:v>
      </x:c>
      <x:c r="B736" t="n">
        <x:v>12400</x:v>
      </x:c>
      <x:c r="C736" s="8" t="n">
        <x:v>44972.5</x:v>
      </x:c>
      <x:c r="D736" t="str">
        <x:v>143</x:v>
      </x:c>
      <x:c r="E736" t="str">
        <x:v>143</x:v>
      </x:c>
      <x:c r="F736" t="str">
        <x:v>Webler , Costa Rica</x:v>
      </x:c>
      <x:c r="G736" s="6" t="n">
        <x:v>2118</x:v>
      </x:c>
      <x:c r="H736" s="6" t="n">
        <x:v>0</x:v>
      </x:c>
      <x:c r="I736" s="6" t="n">
        <x:f>G736-H736</x:f>
        <x:v>2118</x:v>
      </x:c>
      <x:c r="J736" t="str">
        <x:v>124000000_143_R6</x:v>
      </x:c>
    </x:row>
    <x:row r="737">
      <x:c r="A737" t="n">
        <x:v>1716</x:v>
      </x:c>
      <x:c r="B737" t="n">
        <x:v>12400</x:v>
      </x:c>
      <x:c r="C737" s="8" t="n">
        <x:v>44985.5</x:v>
      </x:c>
      <x:c r="D737" t="str">
        <x:v>143</x:v>
      </x:c>
      <x:c r="E737" t="str">
        <x:v>143</x:v>
      </x:c>
      <x:c r="F737" t="str">
        <x:v>Webler Ev a2023-143</x:v>
      </x:c>
      <x:c r="G737" s="6" t="n">
        <x:v>0</x:v>
      </x:c>
      <x:c r="H737" s="6" t="n">
        <x:v>423.6</x:v>
      </x:c>
      <x:c r="I737" s="6" t="n">
        <x:f>G737-H737</x:f>
        <x:v>-423.6</x:v>
      </x:c>
      <x:c r="J737" t="str">
        <x:v>20230101_2629</x:v>
      </x:c>
    </x:row>
    <x:row r="738">
      <x:c r="A738" t="n">
        <x:v>1717</x:v>
      </x:c>
      <x:c r="B738" t="n">
        <x:v>12400</x:v>
      </x:c>
      <x:c r="C738" s="8" t="n">
        <x:v>44973.5</x:v>
      </x:c>
      <x:c r="D738" t="str">
        <x:v>145</x:v>
      </x:c>
      <x:c r="E738" t="str">
        <x:v>145</x:v>
      </x:c>
      <x:c r="F738" t="str">
        <x:v>Wilts, Costa Rica</x:v>
      </x:c>
      <x:c r="G738" s="6" t="n">
        <x:v>4095</x:v>
      </x:c>
      <x:c r="H738" s="6" t="n">
        <x:v>0</x:v>
      </x:c>
      <x:c r="I738" s="6" t="n">
        <x:f>G738-H738</x:f>
        <x:v>4095</x:v>
      </x:c>
      <x:c r="J738" t="str">
        <x:v>124000000_145_R7</x:v>
      </x:c>
    </x:row>
    <x:row r="739">
      <x:c r="A739" t="n">
        <x:v>1718</x:v>
      </x:c>
      <x:c r="B739" t="n">
        <x:v>12400</x:v>
      </x:c>
      <x:c r="C739" s="8" t="n">
        <x:v>44979.5</x:v>
      </x:c>
      <x:c r="D739" t="str">
        <x:v>158</x:v>
      </x:c>
      <x:c r="E739" t="str">
        <x:v>158</x:v>
      </x:c>
      <x:c r="F739" t="str">
        <x:v>Wild, Costea Rica</x:v>
      </x:c>
      <x:c r="G739" s="6" t="n">
        <x:v>1041</x:v>
      </x:c>
      <x:c r="H739" s="6" t="n">
        <x:v>0</x:v>
      </x:c>
      <x:c r="I739" s="6" t="n">
        <x:f>G739-H739</x:f>
        <x:v>1041</x:v>
      </x:c>
      <x:c r="J739" t="str">
        <x:v>20230101_2602</x:v>
      </x:c>
    </x:row>
    <x:row r="740">
      <x:c r="A740" t="n">
        <x:v>1719</x:v>
      </x:c>
      <x:c r="B740" t="n">
        <x:v>12400</x:v>
      </x:c>
      <x:c r="C740" s="8" t="n">
        <x:v>44987.5</x:v>
      </x:c>
      <x:c r="D740" t="str">
        <x:v>169</x:v>
      </x:c>
      <x:c r="E740" t="str">
        <x:v>169</x:v>
      </x:c>
      <x:c r="F740" t="str">
        <x:v>Weiler, Costa Rica</x:v>
      </x:c>
      <x:c r="G740" s="6" t="n">
        <x:v>3859</x:v>
      </x:c>
      <x:c r="H740" s="6" t="n">
        <x:v>0</x:v>
      </x:c>
      <x:c r="I740" s="6" t="n">
        <x:f>G740-H740</x:f>
        <x:v>3859</x:v>
      </x:c>
      <x:c r="J740" t="str">
        <x:v>20230101_2639</x:v>
      </x:c>
    </x:row>
    <x:row r="741">
      <x:c r="A741" t="n">
        <x:v>1720</x:v>
      </x:c>
      <x:c r="B741" t="n">
        <x:v>12400</x:v>
      </x:c>
      <x:c r="C741" s="8" t="n">
        <x:v>44988.5</x:v>
      </x:c>
      <x:c r="D741" t="str">
        <x:v>171</x:v>
      </x:c>
      <x:c r="E741" t="str">
        <x:v>171</x:v>
      </x:c>
      <x:c r="F741" t="str">
        <x:v>Weiler, Costa Rica</x:v>
      </x:c>
      <x:c r="G741" s="6" t="n">
        <x:v>1525</x:v>
      </x:c>
      <x:c r="H741" s="6" t="n">
        <x:v>0</x:v>
      </x:c>
      <x:c r="I741" s="6" t="n">
        <x:f>G741-H741</x:f>
        <x:v>1525</x:v>
      </x:c>
      <x:c r="J741" t="str">
        <x:v>20230101_2643</x:v>
      </x:c>
    </x:row>
    <x:row r="742">
      <x:c r="A742" t="n">
        <x:v>1721</x:v>
      </x:c>
      <x:c r="B742" t="n">
        <x:v>12400</x:v>
      </x:c>
      <x:c r="C742" s="8" t="n">
        <x:v>44992.5</x:v>
      </x:c>
      <x:c r="D742" t="str">
        <x:v>176</x:v>
      </x:c>
      <x:c r="E742" t="str">
        <x:v>176</x:v>
      </x:c>
      <x:c r="F742" t="str">
        <x:v>Wrede, Costa Rica</x:v>
      </x:c>
      <x:c r="G742" s="6" t="n">
        <x:v>5959</x:v>
      </x:c>
      <x:c r="H742" s="6" t="n">
        <x:v>0</x:v>
      </x:c>
      <x:c r="I742" s="6" t="n">
        <x:f>G742-H742</x:f>
        <x:v>5959</x:v>
      </x:c>
      <x:c r="J742" t="str">
        <x:v>20230101_2651</x:v>
      </x:c>
    </x:row>
    <x:row r="743">
      <x:c r="A743" t="n">
        <x:v>1722</x:v>
      </x:c>
      <x:c r="B743" t="n">
        <x:v>12400</x:v>
      </x:c>
      <x:c r="C743" s="8" t="n">
        <x:v>44994.5</x:v>
      </x:c>
      <x:c r="D743" t="str">
        <x:v>178</x:v>
      </x:c>
      <x:c r="E743" t="str">
        <x:v>178</x:v>
      </x:c>
      <x:c r="F743" t="str">
        <x:v>Weiss, Costa Rica</x:v>
      </x:c>
      <x:c r="G743" s="6" t="n">
        <x:v>3739</x:v>
      </x:c>
      <x:c r="H743" s="6" t="n">
        <x:v>0</x:v>
      </x:c>
      <x:c r="I743" s="6" t="n">
        <x:f>G743-H743</x:f>
        <x:v>3739</x:v>
      </x:c>
      <x:c r="J743" t="str">
        <x:v>20230101_2654</x:v>
      </x:c>
    </x:row>
    <x:row r="744">
      <x:c r="A744" t="n">
        <x:v>1723</x:v>
      </x:c>
      <x:c r="B744" t="n">
        <x:v>12400</x:v>
      </x:c>
      <x:c r="C744" s="8" t="n">
        <x:v>44994.5</x:v>
      </x:c>
      <x:c r="D744" t="str">
        <x:v>182</x:v>
      </x:c>
      <x:c r="E744" t="str">
        <x:v>182</x:v>
      </x:c>
      <x:c r="F744" t="str">
        <x:v>Wilke, Costa Rica</x:v>
      </x:c>
      <x:c r="G744" s="6" t="n">
        <x:v>655</x:v>
      </x:c>
      <x:c r="H744" s="6" t="n">
        <x:v>0</x:v>
      </x:c>
      <x:c r="I744" s="6" t="n">
        <x:f>G744-H744</x:f>
        <x:v>655</x:v>
      </x:c>
      <x:c r="J744" t="str">
        <x:v>20230101_2658</x:v>
      </x:c>
    </x:row>
    <x:row r="745">
      <x:c r="A745" t="n">
        <x:v>1724</x:v>
      </x:c>
      <x:c r="B745" t="n">
        <x:v>12400</x:v>
      </x:c>
      <x:c r="C745" s="8" t="n">
        <x:v>44998.5</x:v>
      </x:c>
      <x:c r="D745" t="str">
        <x:v>184</x:v>
      </x:c>
      <x:c r="E745" t="str">
        <x:v>184</x:v>
      </x:c>
      <x:c r="F745" t="str">
        <x:v>Weiß, Greece</x:v>
      </x:c>
      <x:c r="G745" s="6" t="n">
        <x:v>510</x:v>
      </x:c>
      <x:c r="H745" s="6" t="n">
        <x:v>0</x:v>
      </x:c>
      <x:c r="I745" s="6" t="n">
        <x:f>G745-H745</x:f>
        <x:v>510</x:v>
      </x:c>
      <x:c r="J745" t="str">
        <x:v>20230101_2666</x:v>
      </x:c>
    </x:row>
    <x:row r="746">
      <x:c r="A746" t="n">
        <x:v>1725</x:v>
      </x:c>
      <x:c r="B746" t="n">
        <x:v>12400</x:v>
      </x:c>
      <x:c r="C746" s="8" t="n">
        <x:v>44927.5</x:v>
      </x:c>
      <x:c r="D746" t="str">
        <x:v>206</x:v>
      </x:c>
      <x:c r="E746" t="str">
        <x:v>206</x:v>
      </x:c>
      <x:c r="F746" t="str">
        <x:v>widera</x:v>
      </x:c>
      <x:c r="G746" s="6" t="n">
        <x:v>100</x:v>
      </x:c>
      <x:c r="H746" s="6" t="n">
        <x:v>0</x:v>
      </x:c>
      <x:c r="I746" s="6" t="n">
        <x:f>G746-H746</x:f>
        <x:v>100</x:v>
      </x:c>
      <x:c r="J746" t="str">
        <x:v>20230101_2481</x:v>
      </x:c>
    </x:row>
    <x:row r="747">
      <x:c r="A747" t="n">
        <x:v>1726</x:v>
      </x:c>
      <x:c r="B747" t="n">
        <x:v>12400</x:v>
      </x:c>
      <x:c r="C747" s="8" t="n">
        <x:v>44927.5</x:v>
      </x:c>
      <x:c r="D747" t="str">
        <x:v>259</x:v>
      </x:c>
      <x:c r="E747" t="str">
        <x:v>259</x:v>
      </x:c>
      <x:c r="F747" t="str">
        <x:v>Vortragsaktualisierung</x:v>
      </x:c>
      <x:c r="G747" s="6" t="n">
        <x:v>3864</x:v>
      </x:c>
      <x:c r="H747" s="6" t="n">
        <x:v>0</x:v>
      </x:c>
      <x:c r="I747" s="6" t="n">
        <x:f>G747-H747</x:f>
        <x:v>3864</x:v>
      </x:c>
      <x:c r="J747" t="str">
        <x:v>20230101_2491</x:v>
      </x:c>
    </x:row>
    <x:row r="748">
      <x:c r="A748" t="n">
        <x:v>1727</x:v>
      </x:c>
      <x:c r="B748" t="n">
        <x:v>12400</x:v>
      </x:c>
      <x:c r="C748" s="8" t="n">
        <x:v>45030.5</x:v>
      </x:c>
      <x:c r="D748" t="str">
        <x:v>2023%246</x:v>
      </x:c>
      <x:c r="E748" t="str">
        <x:v>2023%246</x:v>
      </x:c>
      <x:c r="F748" t="str">
        <x:v>Lena Wegner</x:v>
      </x:c>
      <x:c r="G748" s="6" t="n">
        <x:v>2180</x:v>
      </x:c>
      <x:c r="H748" s="6" t="n">
        <x:v>0</x:v>
      </x:c>
      <x:c r="I748" s="6" t="n">
        <x:f>G748-H748</x:f>
        <x:v>2180</x:v>
      </x:c>
      <x:c r="J748" t="str">
        <x:v>20230101_2820</x:v>
      </x:c>
    </x:row>
    <x:row r="749">
      <x:c r="A749" t="n">
        <x:v>1728</x:v>
      </x:c>
      <x:c r="B749" t="n">
        <x:v>12400</x:v>
      </x:c>
      <x:c r="C749" s="8" t="n">
        <x:v>45051.5</x:v>
      </x:c>
      <x:c r="D749" t="str">
        <x:v>2023%273</x:v>
      </x:c>
      <x:c r="E749" t="str">
        <x:v>2023%273</x:v>
      </x:c>
      <x:c r="F749" t="str">
        <x:v>Lena Wegner</x:v>
      </x:c>
      <x:c r="G749" s="6" t="n">
        <x:v>2395</x:v>
      </x:c>
      <x:c r="H749" s="6" t="n">
        <x:v>0</x:v>
      </x:c>
      <x:c r="I749" s="6" t="n">
        <x:f>G749-H749</x:f>
        <x:v>2395</x:v>
      </x:c>
      <x:c r="J749" t="str">
        <x:v>124000000_2023%273_R8</x:v>
      </x:c>
    </x:row>
    <x:row r="750">
      <x:c r="A750" t="n">
        <x:v>1729</x:v>
      </x:c>
      <x:c r="B750" t="n">
        <x:v>12400</x:v>
      </x:c>
      <x:c r="C750" s="8" t="n">
        <x:v>45091.5</x:v>
      </x:c>
      <x:c r="D750" t="str">
        <x:v>2023%304</x:v>
      </x:c>
      <x:c r="E750" t="str">
        <x:v>2023%304</x:v>
      </x:c>
      <x:c r="F750" t="str">
        <x:v>Pablo Wiesmann</x:v>
      </x:c>
      <x:c r="G750" s="6" t="n">
        <x:v>4289</x:v>
      </x:c>
      <x:c r="H750" s="6" t="n">
        <x:v>0</x:v>
      </x:c>
      <x:c r="I750" s="6" t="n">
        <x:f>G750-H750</x:f>
        <x:v>4289</x:v>
      </x:c>
      <x:c r="J750" t="str">
        <x:v>20230101_3095</x:v>
      </x:c>
    </x:row>
    <x:row r="751">
      <x:c r="A751" t="n">
        <x:v>1730</x:v>
      </x:c>
      <x:c r="B751" t="n">
        <x:v>12400</x:v>
      </x:c>
      <x:c r="C751" s="8" t="n">
        <x:v>45182.5</x:v>
      </x:c>
      <x:c r="D751" t="str">
        <x:v>2023%364</x:v>
      </x:c>
      <x:c r="E751" t="str">
        <x:v>2023%364</x:v>
      </x:c>
      <x:c r="F751" t="str">
        <x:v>Wagner</x:v>
      </x:c>
      <x:c r="G751" s="6" t="n">
        <x:v>300</x:v>
      </x:c>
      <x:c r="H751" s="6" t="n">
        <x:v>0</x:v>
      </x:c>
      <x:c r="I751" s="6" t="n">
        <x:f>G751-H751</x:f>
        <x:v>300</x:v>
      </x:c>
      <x:c r="J751" t="str">
        <x:v>20230101_3355</x:v>
      </x:c>
    </x:row>
    <x:row r="752">
      <x:c r="A752" t="n">
        <x:v>1731</x:v>
      </x:c>
      <x:c r="B752" t="n">
        <x:v>12400</x:v>
      </x:c>
      <x:c r="C752" s="8" t="n">
        <x:v>45240.5</x:v>
      </x:c>
      <x:c r="D752" t="str">
        <x:v>2023%385</x:v>
      </x:c>
      <x:c r="E752" t="str">
        <x:v>2023%385</x:v>
      </x:c>
      <x:c r="F752" t="str">
        <x:v>Weimer</x:v>
      </x:c>
      <x:c r="G752" s="6" t="n">
        <x:v>2290</x:v>
      </x:c>
      <x:c r="H752" s="6" t="n">
        <x:v>0</x:v>
      </x:c>
      <x:c r="I752" s="6" t="n">
        <x:f>G752-H752</x:f>
        <x:v>2290</x:v>
      </x:c>
      <x:c r="J752" t="str">
        <x:v>20230101_3444</x:v>
      </x:c>
    </x:row>
    <x:row r="753">
      <x:c r="A753" t="n">
        <x:v>1732</x:v>
      </x:c>
      <x:c r="B753" t="n">
        <x:v>12400</x:v>
      </x:c>
      <x:c r="C753" s="8" t="n">
        <x:v>45247.5</x:v>
      </x:c>
      <x:c r="D753" t="str">
        <x:v>2023%389</x:v>
      </x:c>
      <x:c r="E753" t="str">
        <x:v>2023%389</x:v>
      </x:c>
      <x:c r="F753" t="str">
        <x:v>Wüstner</x:v>
      </x:c>
      <x:c r="G753" s="6" t="n">
        <x:v>710</x:v>
      </x:c>
      <x:c r="H753" s="6" t="n">
        <x:v>0</x:v>
      </x:c>
      <x:c r="I753" s="6" t="n">
        <x:f>G753-H753</x:f>
        <x:v>710</x:v>
      </x:c>
      <x:c r="J753" t="str">
        <x:v>20230101_3459</x:v>
      </x:c>
    </x:row>
    <x:row r="754">
      <x:c r="A754" t="n">
        <x:v>1733</x:v>
      </x:c>
      <x:c r="B754" t="n">
        <x:v>12400</x:v>
      </x:c>
      <x:c r="C754" s="8" t="n">
        <x:v>45453.5</x:v>
      </x:c>
      <x:c r="D754" t="str">
        <x:v>2023%389</x:v>
      </x:c>
      <x:c r="E754" t="str">
        <x:v>2023%389</x:v>
      </x:c>
      <x:c r="F754" t="str">
        <x:v>Umb. 10069 Leni Wustner 2023-389</x:v>
      </x:c>
      <x:c r="G754" s="6" t="n">
        <x:v>0</x:v>
      </x:c>
      <x:c r="H754" s="6" t="n">
        <x:v>574</x:v>
      </x:c>
      <x:c r="I754" s="6" t="n">
        <x:f>G754-H754</x:f>
        <x:v>-574</x:v>
      </x:c>
      <x:c r="J754" t="str">
        <x:v>20240101_9664</x:v>
      </x:c>
    </x:row>
    <x:row r="755">
      <x:c r="A755" t="n">
        <x:v>1734</x:v>
      </x:c>
      <x:c r="B755" t="n">
        <x:v>12400</x:v>
      </x:c>
      <x:c r="C755" s="8" t="n">
        <x:v>45247.5</x:v>
      </x:c>
      <x:c r="D755" t="str">
        <x:v>2023%391</x:v>
      </x:c>
      <x:c r="E755" t="str">
        <x:v>2023%391</x:v>
      </x:c>
      <x:c r="F755" t="str">
        <x:v>Wetter</x:v>
      </x:c>
      <x:c r="G755" s="6" t="n">
        <x:v>990</x:v>
      </x:c>
      <x:c r="H755" s="6" t="n">
        <x:v>0</x:v>
      </x:c>
      <x:c r="I755" s="6" t="n">
        <x:f>G755-H755</x:f>
        <x:v>990</x:v>
      </x:c>
      <x:c r="J755" t="str">
        <x:v>20230101_3452</x:v>
      </x:c>
    </x:row>
    <x:row r="756">
      <x:c r="A756" t="n">
        <x:v>1735</x:v>
      </x:c>
      <x:c r="B756" t="n">
        <x:v>12400</x:v>
      </x:c>
      <x:c r="C756" s="8" t="n">
        <x:v>45296.5</x:v>
      </x:c>
      <x:c r="D756" t="str">
        <x:v>2023%391</x:v>
      </x:c>
      <x:c r="E756" t="str">
        <x:v>2023%391</x:v>
      </x:c>
      <x:c r="F756" t="str">
        <x:v>Umb. 10069 Lilia Weter 2023-391</x:v>
      </x:c>
      <x:c r="G756" s="6" t="n">
        <x:v>0</x:v>
      </x:c>
      <x:c r="H756" s="6" t="n">
        <x:v>792</x:v>
      </x:c>
      <x:c r="I756" s="6" t="n">
        <x:f>G756-H756</x:f>
        <x:v>-792</x:v>
      </x:c>
      <x:c r="J756" t="str">
        <x:v>20240101_9608</x:v>
      </x:c>
    </x:row>
    <x:row r="757">
      <x:c r="A757" t="n">
        <x:v>1736</x:v>
      </x:c>
      <x:c r="B757" t="n">
        <x:v>12400</x:v>
      </x:c>
      <x:c r="C757" s="8" t="n">
        <x:v>45260.5</x:v>
      </x:c>
      <x:c r="D757" t="str">
        <x:v>2023%401</x:v>
      </x:c>
      <x:c r="E757" t="str">
        <x:v>2023%401</x:v>
      </x:c>
      <x:c r="F757" t="str">
        <x:v>Weiß</x:v>
      </x:c>
      <x:c r="G757" s="6" t="n">
        <x:v>987</x:v>
      </x:c>
      <x:c r="H757" s="6" t="n">
        <x:v>0</x:v>
      </x:c>
      <x:c r="I757" s="6" t="n">
        <x:f>G757-H757</x:f>
        <x:v>987</x:v>
      </x:c>
      <x:c r="J757" t="str">
        <x:v>20230101_3477</x:v>
      </x:c>
    </x:row>
    <x:row r="758">
      <x:c r="A758" t="n">
        <x:v>1737</x:v>
      </x:c>
      <x:c r="B758" t="n">
        <x:v>12400</x:v>
      </x:c>
      <x:c r="C758" s="8" t="n">
        <x:v>45295.5</x:v>
      </x:c>
      <x:c r="D758" t="str">
        <x:v>2023%401</x:v>
      </x:c>
      <x:c r="E758" t="str">
        <x:v>2023%401</x:v>
      </x:c>
      <x:c r="F758" t="str">
        <x:v>Umb. 10069 Leonie Weiß 2023-401</x:v>
      </x:c>
      <x:c r="G758" s="6" t="n">
        <x:v>0</x:v>
      </x:c>
      <x:c r="H758" s="6" t="n">
        <x:v>789.6</x:v>
      </x:c>
      <x:c r="I758" s="6" t="n">
        <x:f>G758-H758</x:f>
        <x:v>-789.6</x:v>
      </x:c>
      <x:c r="J758" t="str">
        <x:v>20240101_9604</x:v>
      </x:c>
    </x:row>
    <x:row r="759">
      <x:c r="A759" t="n">
        <x:v>1740</x:v>
      </x:c>
      <x:c r="B759" t="n">
        <x:v>12400</x:v>
      </x:c>
      <x:c r="C759" s="8" t="n">
        <x:v>44979.5</x:v>
      </x:c>
      <x:c r="D759" t="str">
        <x:v>VRNeu10</x:v>
      </x:c>
      <x:c r="E759" t="str">
        <x:v>VRNeu10</x:v>
      </x:c>
      <x:c r="F759" t="str">
        <x:v>Ina Susanne Wegner 2023-134</x:v>
      </x:c>
      <x:c r="G759" s="6" t="n">
        <x:v>0</x:v>
      </x:c>
      <x:c r="H759" s="6" t="n">
        <x:v>280</x:v>
      </x:c>
      <x:c r="I759" s="6" t="n">
        <x:f>G759-H759</x:f>
        <x:v>-280</x:v>
      </x:c>
      <x:c r="J759" t="str">
        <x:v>20230101_2604</x:v>
      </x:c>
    </x:row>
    <x:row r="760">
      <x:c r="A760" t="n">
        <x:v>1741</x:v>
      </x:c>
      <x:c r="B760" t="n">
        <x:v>12400</x:v>
      </x:c>
      <x:c r="C760" s="8" t="n">
        <x:v>44979.5</x:v>
      </x:c>
      <x:c r="D760" t="str">
        <x:v>VRNeu10</x:v>
      </x:c>
      <x:c r="E760" t="str">
        <x:v>VRNeu10</x:v>
      </x:c>
      <x:c r="F760" t="str">
        <x:v>Ina Susanne Wegner 2023-133</x:v>
      </x:c>
      <x:c r="G760" s="6" t="n">
        <x:v>0</x:v>
      </x:c>
      <x:c r="H760" s="6" t="n">
        <x:v>1260</x:v>
      </x:c>
      <x:c r="I760" s="6" t="n">
        <x:f>G760-H760</x:f>
        <x:v>-1260</x:v>
      </x:c>
      <x:c r="J760" t="str">
        <x:v>20230101_2605</x:v>
      </x:c>
    </x:row>
    <x:row r="761">
      <x:c r="A761" t="n">
        <x:v>1742</x:v>
      </x:c>
      <x:c r="B761" t="n">
        <x:v>12400</x:v>
      </x:c>
      <x:c r="C761" s="8" t="n">
        <x:v>44981.5</x:v>
      </x:c>
      <x:c r="D761" t="str">
        <x:v>VRNeu10</x:v>
      </x:c>
      <x:c r="E761" t="str">
        <x:v>VRNeu10</x:v>
      </x:c>
      <x:c r="F761" t="str">
        <x:v>Johanna Wilts 2023-145</x:v>
      </x:c>
      <x:c r="G761" s="6" t="n">
        <x:v>0</x:v>
      </x:c>
      <x:c r="H761" s="6" t="n">
        <x:v>819</x:v>
      </x:c>
      <x:c r="I761" s="6" t="n">
        <x:f>G761-H761</x:f>
        <x:v>-819</x:v>
      </x:c>
      <x:c r="J761" t="str">
        <x:v>20230101_2615</x:v>
      </x:c>
    </x:row>
    <x:row r="762">
      <x:c r="A762" t="n">
        <x:v>1743</x:v>
      </x:c>
      <x:c r="B762" t="n">
        <x:v>12400</x:v>
      </x:c>
      <x:c r="C762" s="8" t="n">
        <x:v>44984.5</x:v>
      </x:c>
      <x:c r="D762" t="str">
        <x:v>VRNeu11/4</x:v>
      </x:c>
      <x:c r="E762" t="str">
        <x:v>VRNeu11/4</x:v>
      </x:c>
      <x:c r="F762" t="str">
        <x:v>Benedikt Wittmann 2023-139</x:v>
      </x:c>
      <x:c r="G762" s="6" t="n">
        <x:v>0</x:v>
      </x:c>
      <x:c r="H762" s="6" t="n">
        <x:v>352</x:v>
      </x:c>
      <x:c r="I762" s="6" t="n">
        <x:f>G762-H762</x:f>
        <x:v>-352</x:v>
      </x:c>
      <x:c r="J762" t="str">
        <x:v>20230101_2624</x:v>
      </x:c>
    </x:row>
    <x:row r="763">
      <x:c r="A763" t="n">
        <x:v>1744</x:v>
      </x:c>
      <x:c r="B763" t="n">
        <x:v>12400</x:v>
      </x:c>
      <x:c r="C763" s="8" t="n">
        <x:v>44985.5</x:v>
      </x:c>
      <x:c r="D763" t="str">
        <x:v>VRNeu12/2</x:v>
      </x:c>
      <x:c r="E763" t="str">
        <x:v>VRNeu12/2</x:v>
      </x:c>
      <x:c r="F763" t="str">
        <x:v>Georg und Sabine Wild 2022-150</x:v>
      </x:c>
      <x:c r="G763" s="6" t="n">
        <x:v>0</x:v>
      </x:c>
      <x:c r="H763" s="6" t="n">
        <x:v>1041</x:v>
      </x:c>
      <x:c r="I763" s="6" t="n">
        <x:f>G763-H763</x:f>
        <x:v>-1041</x:v>
      </x:c>
      <x:c r="J763" t="str">
        <x:v>20230101_2628</x:v>
      </x:c>
    </x:row>
    <x:row r="764">
      <x:c r="A764" t="n">
        <x:v>1745</x:v>
      </x:c>
      <x:c r="B764" t="n">
        <x:v>12400</x:v>
      </x:c>
      <x:c r="C764" s="8" t="n">
        <x:v>44991.5</x:v>
      </x:c>
      <x:c r="D764" t="str">
        <x:v>VRNeu15/1</x:v>
      </x:c>
      <x:c r="E764" t="str">
        <x:v>VRNeu15/1</x:v>
      </x:c>
      <x:c r="F764" t="str">
        <x:v>Jennifer Weiler 2023-169</x:v>
      </x:c>
      <x:c r="G764" s="6" t="n">
        <x:v>0</x:v>
      </x:c>
      <x:c r="H764" s="6" t="n">
        <x:v>771.8</x:v>
      </x:c>
      <x:c r="I764" s="6" t="n">
        <x:f>G764-H764</x:f>
        <x:v>-771.8</x:v>
      </x:c>
      <x:c r="J764" t="str">
        <x:v>20230101_2648</x:v>
      </x:c>
    </x:row>
    <x:row r="765">
      <x:c r="A765" t="n">
        <x:v>1746</x:v>
      </x:c>
      <x:c r="B765" t="n">
        <x:v>12400</x:v>
      </x:c>
      <x:c r="C765" s="8" t="n">
        <x:v>44993.5</x:v>
      </x:c>
      <x:c r="D765" t="str">
        <x:v>VRNeu16/1</x:v>
      </x:c>
      <x:c r="E765" t="str">
        <x:v>VRNeu16/1</x:v>
      </x:c>
      <x:c r="F765" t="str">
        <x:v>Jennifer Weiler 2023-171</x:v>
      </x:c>
      <x:c r="G765" s="6" t="n">
        <x:v>0</x:v>
      </x:c>
      <x:c r="H765" s="6" t="n">
        <x:v>305</x:v>
      </x:c>
      <x:c r="I765" s="6" t="n">
        <x:f>G765-H765</x:f>
        <x:v>-305</x:v>
      </x:c>
      <x:c r="J765" t="str">
        <x:v>20230101_2653</x:v>
      </x:c>
    </x:row>
    <x:row r="766">
      <x:c r="A766" t="n">
        <x:v>1747</x:v>
      </x:c>
      <x:c r="B766" t="n">
        <x:v>12400</x:v>
      </x:c>
      <x:c r="C766" s="8" t="n">
        <x:v>44999.5</x:v>
      </x:c>
      <x:c r="D766" t="str">
        <x:v>VRNeu18/1</x:v>
      </x:c>
      <x:c r="E766" t="str">
        <x:v>VRNeu18/1</x:v>
      </x:c>
      <x:c r="F766" t="str">
        <x:v>Tessa WEiss 2023-178</x:v>
      </x:c>
      <x:c r="G766" s="6" t="n">
        <x:v>0</x:v>
      </x:c>
      <x:c r="H766" s="6" t="n">
        <x:v>747.8</x:v>
      </x:c>
      <x:c r="I766" s="6" t="n">
        <x:f>G766-H766</x:f>
        <x:v>-747.8</x:v>
      </x:c>
      <x:c r="J766" t="str">
        <x:v>20230101_2675</x:v>
      </x:c>
    </x:row>
    <x:row r="767">
      <x:c r="A767" t="n">
        <x:v>1754</x:v>
      </x:c>
      <x:c r="B767" t="n">
        <x:v>12400</x:v>
      </x:c>
      <x:c r="C767" s="8" t="n">
        <x:v>45005.5</x:v>
      </x:c>
      <x:c r="D767" t="str">
        <x:v>VRNeu19/1</x:v>
      </x:c>
      <x:c r="E767" t="str">
        <x:v>VRNeu19/1</x:v>
      </x:c>
      <x:c r="F767" t="str">
        <x:v>Leonie Weiss 2022-185</x:v>
      </x:c>
      <x:c r="G767" s="6" t="n">
        <x:v>0</x:v>
      </x:c>
      <x:c r="H767" s="6" t="n">
        <x:v>510</x:v>
      </x:c>
      <x:c r="I767" s="6" t="n">
        <x:f>G767-H767</x:f>
        <x:v>-510</x:v>
      </x:c>
      <x:c r="J767" t="str">
        <x:v>20230101_2703</x:v>
      </x:c>
    </x:row>
    <x:row r="768">
      <x:c r="A768" t="n">
        <x:v>1755</x:v>
      </x:c>
      <x:c r="B768" t="n">
        <x:v>12400</x:v>
      </x:c>
      <x:c r="C768" s="8" t="n">
        <x:v>45005.5</x:v>
      </x:c>
      <x:c r="D768" t="str">
        <x:v>VRNeu19/1</x:v>
      </x:c>
      <x:c r="E768" t="str">
        <x:v>VRNeu19/1</x:v>
      </x:c>
      <x:c r="F768" t="str">
        <x:v>Finja Wilke 2023-183</x:v>
      </x:c>
      <x:c r="G768" s="6" t="n">
        <x:v>0</x:v>
      </x:c>
      <x:c r="H768" s="6" t="n">
        <x:v>131</x:v>
      </x:c>
      <x:c r="I768" s="6" t="n">
        <x:f>G768-H768</x:f>
        <x:v>-131</x:v>
      </x:c>
      <x:c r="J768" t="str">
        <x:v>20230101_2705</x:v>
      </x:c>
    </x:row>
    <x:row r="769">
      <x:c r="A769" t="n">
        <x:v>1763</x:v>
      </x:c>
      <x:c r="B769" t="n">
        <x:v>12400</x:v>
      </x:c>
      <x:c r="C769" s="8" t="n">
        <x:v>45009.5</x:v>
      </x:c>
      <x:c r="D769" t="str">
        <x:v>VRNeu21/2</x:v>
      </x:c>
      <x:c r="E769" t="str">
        <x:v>VRNeu21/2</x:v>
      </x:c>
      <x:c r="F769" t="str">
        <x:v>Johanna Wilts 2023-145</x:v>
      </x:c>
      <x:c r="G769" s="6" t="n">
        <x:v>0</x:v>
      </x:c>
      <x:c r="H769" s="6" t="n">
        <x:v>3276</x:v>
      </x:c>
      <x:c r="I769" s="6" t="n">
        <x:f>G769-H769</x:f>
        <x:v>-3276</x:v>
      </x:c>
      <x:c r="J769" t="str">
        <x:v>20230101_2720</x:v>
      </x:c>
    </x:row>
    <x:row r="770">
      <x:c r="A770" t="n">
        <x:v>1764</x:v>
      </x:c>
      <x:c r="B770" t="n">
        <x:v>12400</x:v>
      </x:c>
      <x:c r="C770" s="8" t="n">
        <x:v>45016.5</x:v>
      </x:c>
      <x:c r="D770" t="str">
        <x:v>VRNeu24/2</x:v>
      </x:c>
      <x:c r="E770" t="str">
        <x:v>VRNeu24/2</x:v>
      </x:c>
      <x:c r="F770" t="str">
        <x:v>Wegner Lena 2023-134</x:v>
      </x:c>
      <x:c r="G770" s="6" t="n">
        <x:v>0</x:v>
      </x:c>
      <x:c r="H770" s="6" t="n">
        <x:v>1120</x:v>
      </x:c>
      <x:c r="I770" s="6" t="n">
        <x:f>G770-H770</x:f>
        <x:v>-1120</x:v>
      </x:c>
      <x:c r="J770" t="str">
        <x:v>20230101_2744</x:v>
      </x:c>
    </x:row>
    <x:row r="771">
      <x:c r="A771" t="n">
        <x:v>1765</x:v>
      </x:c>
      <x:c r="B771" t="n">
        <x:v>12400</x:v>
      </x:c>
      <x:c r="C771" s="8" t="n">
        <x:v>45019.5</x:v>
      </x:c>
      <x:c r="D771" t="str">
        <x:v>VRNeu24/4</x:v>
      </x:c>
      <x:c r="E771" t="str">
        <x:v>VRNeu24/4</x:v>
      </x:c>
      <x:c r="F771" t="str">
        <x:v>Wien Sophia Charlotte 2023-128</x:v>
      </x:c>
      <x:c r="G771" s="6" t="n">
        <x:v>0</x:v>
      </x:c>
      <x:c r="H771" s="6" t="n">
        <x:v>96.2</x:v>
      </x:c>
      <x:c r="I771" s="6" t="n">
        <x:f>G771-H771</x:f>
        <x:v>-96.2</x:v>
      </x:c>
      <x:c r="J771" t="str">
        <x:v>20230101_2758</x:v>
      </x:c>
    </x:row>
    <x:row r="772">
      <x:c r="A772" t="n">
        <x:v>1766</x:v>
      </x:c>
      <x:c r="B772" t="n">
        <x:v>12400</x:v>
      </x:c>
      <x:c r="C772" s="8" t="n">
        <x:v>45029.5</x:v>
      </x:c>
      <x:c r="D772" t="str">
        <x:v>VRNeu28/3</x:v>
      </x:c>
      <x:c r="E772" t="str">
        <x:v>VRNeu28/3</x:v>
      </x:c>
      <x:c r="F772" t="str">
        <x:v>Wrede 2023-176</x:v>
      </x:c>
      <x:c r="G772" s="6" t="n">
        <x:v>0</x:v>
      </x:c>
      <x:c r="H772" s="6" t="n">
        <x:v>1191.8</x:v>
      </x:c>
      <x:c r="I772" s="6" t="n">
        <x:f>G772-H772</x:f>
        <x:v>-1191.8</x:v>
      </x:c>
      <x:c r="J772" t="str">
        <x:v>20230101_2814</x:v>
      </x:c>
    </x:row>
    <x:row r="773">
      <x:c r="A773" t="n">
        <x:v>1767</x:v>
      </x:c>
      <x:c r="B773" t="n">
        <x:v>12400</x:v>
      </x:c>
      <x:c r="C773" s="8" t="n">
        <x:v>44937.5</x:v>
      </x:c>
      <x:c r="D773" t="str">
        <x:v>VRNeu3/1</x:v>
      </x:c>
      <x:c r="E773" t="str">
        <x:v>VRNeu3/1</x:v>
      </x:c>
      <x:c r="F773" t="str">
        <x:v>Anita Wolf 2022-242</x:v>
      </x:c>
      <x:c r="G773" s="6" t="n">
        <x:v>0</x:v>
      </x:c>
      <x:c r="H773" s="6" t="n">
        <x:v>544</x:v>
      </x:c>
      <x:c r="I773" s="6" t="n">
        <x:f>G773-H773</x:f>
        <x:v>-544</x:v>
      </x:c>
      <x:c r="J773" t="str">
        <x:v>20230101_2512</x:v>
      </x:c>
    </x:row>
    <x:row r="774">
      <x:c r="A774" t="n">
        <x:v>1768</x:v>
      </x:c>
      <x:c r="B774" t="n">
        <x:v>12400</x:v>
      </x:c>
      <x:c r="C774" s="8" t="n">
        <x:v>45042.5</x:v>
      </x:c>
      <x:c r="D774" t="str">
        <x:v>VRNeu33/3</x:v>
      </x:c>
      <x:c r="E774" t="str">
        <x:v>VRNeu33/3</x:v>
      </x:c>
      <x:c r="F774" t="str">
        <x:v>WEgner 2023-246</x:v>
      </x:c>
      <x:c r="G774" s="6" t="n">
        <x:v>0</x:v>
      </x:c>
      <x:c r="H774" s="6" t="n">
        <x:v>436</x:v>
      </x:c>
      <x:c r="I774" s="6" t="n">
        <x:f>G774-H774</x:f>
        <x:v>-436</x:v>
      </x:c>
      <x:c r="J774" t="str">
        <x:v>20230101_2897</x:v>
      </x:c>
    </x:row>
    <x:row r="775">
      <x:c r="A775" t="n">
        <x:v>1769</x:v>
      </x:c>
      <x:c r="B775" t="n">
        <x:v>12400</x:v>
      </x:c>
      <x:c r="C775" s="8" t="n">
        <x:v>45061.5</x:v>
      </x:c>
      <x:c r="D775" t="str">
        <x:v>VRNeu40/1</x:v>
      </x:c>
      <x:c r="E775" t="str">
        <x:v>VRNeu40/1</x:v>
      </x:c>
      <x:c r="F775" t="str">
        <x:v>Wilke 2023_183</x:v>
      </x:c>
      <x:c r="G775" s="6" t="n">
        <x:v>0</x:v>
      </x:c>
      <x:c r="H775" s="6" t="n">
        <x:v>524</x:v>
      </x:c>
      <x:c r="I775" s="6" t="n">
        <x:f>G775-H775</x:f>
        <x:v>-524</x:v>
      </x:c>
      <x:c r="J775" t="str">
        <x:v>20230101_2972</x:v>
      </x:c>
    </x:row>
    <x:row r="776">
      <x:c r="A776" t="n">
        <x:v>1770</x:v>
      </x:c>
      <x:c r="B776" t="n">
        <x:v>12400</x:v>
      </x:c>
      <x:c r="C776" s="8" t="n">
        <x:v>45061.5</x:v>
      </x:c>
      <x:c r="D776" t="str">
        <x:v>VRNeu40/2</x:v>
      </x:c>
      <x:c r="E776" t="str">
        <x:v>VRNeu40/2</x:v>
      </x:c>
      <x:c r="F776" t="str">
        <x:v>Wilke 2023-128</x:v>
      </x:c>
      <x:c r="G776" s="6" t="n">
        <x:v>0</x:v>
      </x:c>
      <x:c r="H776" s="6" t="n">
        <x:v>384.8</x:v>
      </x:c>
      <x:c r="I776" s="6" t="n">
        <x:f>G776-H776</x:f>
        <x:v>-384.8</x:v>
      </x:c>
      <x:c r="J776" t="str">
        <x:v>20230101_2973</x:v>
      </x:c>
    </x:row>
    <x:row r="777">
      <x:c r="A777" t="n">
        <x:v>1771</x:v>
      </x:c>
      <x:c r="B777" t="n">
        <x:v>12400</x:v>
      </x:c>
      <x:c r="C777" s="8" t="n">
        <x:v>45079.5</x:v>
      </x:c>
      <x:c r="D777" t="str">
        <x:v>VRNeu45/1</x:v>
      </x:c>
      <x:c r="E777" t="str">
        <x:v>VRNeu45/1</x:v>
      </x:c>
      <x:c r="F777" t="str">
        <x:v>Dupps 2023-273</x:v>
      </x:c>
      <x:c r="G777" s="6" t="n">
        <x:v>0</x:v>
      </x:c>
      <x:c r="H777" s="6" t="n">
        <x:v>287</x:v>
      </x:c>
      <x:c r="I777" s="6" t="n">
        <x:f>G777-H777</x:f>
        <x:v>-287</x:v>
      </x:c>
      <x:c r="J777" t="str">
        <x:v>20230101_3028</x:v>
      </x:c>
    </x:row>
    <x:row r="778">
      <x:c r="A778" t="n">
        <x:v>1772</x:v>
      </x:c>
      <x:c r="B778" t="n">
        <x:v>12400</x:v>
      </x:c>
      <x:c r="C778" s="8" t="n">
        <x:v>45090.5</x:v>
      </x:c>
      <x:c r="D778" t="str">
        <x:v>VRNeu50/1</x:v>
      </x:c>
      <x:c r="E778" t="str">
        <x:v>VRNeu50/1</x:v>
      </x:c>
      <x:c r="F778" t="str">
        <x:v>Widera 2022_206</x:v>
      </x:c>
      <x:c r="G778" s="6" t="n">
        <x:v>0</x:v>
      </x:c>
      <x:c r="H778" s="6" t="n">
        <x:v>2600</x:v>
      </x:c>
      <x:c r="I778" s="6" t="n">
        <x:f>G778-H778</x:f>
        <x:v>-2600</x:v>
      </x:c>
      <x:c r="J778" t="str">
        <x:v>20230101_3077</x:v>
      </x:c>
    </x:row>
    <x:row r="779">
      <x:c r="A779" t="n">
        <x:v>1773</x:v>
      </x:c>
      <x:c r="B779" t="n">
        <x:v>12400</x:v>
      </x:c>
      <x:c r="C779" s="8" t="n">
        <x:v>45104.5</x:v>
      </x:c>
      <x:c r="D779" t="str">
        <x:v>VRNeu51/4</x:v>
      </x:c>
      <x:c r="E779" t="str">
        <x:v>VRNeu51/4</x:v>
      </x:c>
      <x:c r="F779" t="str">
        <x:v>Wiemann Pablo 2023_204</x:v>
      </x:c>
      <x:c r="G779" s="6" t="n">
        <x:v>0</x:v>
      </x:c>
      <x:c r="H779" s="6" t="n">
        <x:v>857.8</x:v>
      </x:c>
      <x:c r="I779" s="6" t="n">
        <x:f>G779-H779</x:f>
        <x:v>-857.8</x:v>
      </x:c>
      <x:c r="J779" t="str">
        <x:v>20230101_3160</x:v>
      </x:c>
    </x:row>
    <x:row r="780">
      <x:c r="A780" t="n">
        <x:v>1774</x:v>
      </x:c>
      <x:c r="B780" t="n">
        <x:v>12400</x:v>
      </x:c>
      <x:c r="C780" s="8" t="n">
        <x:v>45121.5</x:v>
      </x:c>
      <x:c r="D780" t="str">
        <x:v>VRNeu54/3</x:v>
      </x:c>
      <x:c r="E780" t="str">
        <x:v>VRNeu54/3</x:v>
      </x:c>
      <x:c r="F780" t="str">
        <x:v>Weiss 2023 178</x:v>
      </x:c>
      <x:c r="G780" s="6" t="n">
        <x:v>0</x:v>
      </x:c>
      <x:c r="H780" s="6" t="n">
        <x:v>2991.2</x:v>
      </x:c>
      <x:c r="I780" s="6" t="n">
        <x:f>G780-H780</x:f>
        <x:v>-2991.2</x:v>
      </x:c>
      <x:c r="J780" t="str">
        <x:v>20230101_3212</x:v>
      </x:c>
    </x:row>
    <x:row r="781">
      <x:c r="A781" t="n">
        <x:v>1775</x:v>
      </x:c>
      <x:c r="B781" t="n">
        <x:v>12400</x:v>
      </x:c>
      <x:c r="C781" s="8" t="n">
        <x:v>45145.5</x:v>
      </x:c>
      <x:c r="D781" t="str">
        <x:v>VRNeu61/1</x:v>
      </x:c>
      <x:c r="E781" t="str">
        <x:v>VRNeu61/1</x:v>
      </x:c>
      <x:c r="F781" t="str">
        <x:v>Weiler 2023-171</x:v>
      </x:c>
      <x:c r="G781" s="6" t="n">
        <x:v>0</x:v>
      </x:c>
      <x:c r="H781" s="6" t="n">
        <x:v>1220</x:v>
      </x:c>
      <x:c r="I781" s="6" t="n">
        <x:f>G781-H781</x:f>
        <x:v>-1220</x:v>
      </x:c>
      <x:c r="J781" t="str">
        <x:v>20230101_3294</x:v>
      </x:c>
    </x:row>
    <x:row r="782">
      <x:c r="A782" t="n">
        <x:v>1776</x:v>
      </x:c>
      <x:c r="B782" t="n">
        <x:v>12400</x:v>
      </x:c>
      <x:c r="C782" s="8" t="n">
        <x:v>45153.5</x:v>
      </x:c>
      <x:c r="D782" t="str">
        <x:v>VRNeu63/3</x:v>
      </x:c>
      <x:c r="E782" t="str">
        <x:v>VRNeu63/3</x:v>
      </x:c>
      <x:c r="F782" t="str">
        <x:v>Wiesmann 2023-304</x:v>
      </x:c>
      <x:c r="G782" s="6" t="n">
        <x:v>0</x:v>
      </x:c>
      <x:c r="H782" s="6" t="n">
        <x:v>3431.2</x:v>
      </x:c>
      <x:c r="I782" s="6" t="n">
        <x:f>G782-H782</x:f>
        <x:v>-3431.2</x:v>
      </x:c>
      <x:c r="J782" t="str">
        <x:v>20230101_3304</x:v>
      </x:c>
    </x:row>
    <x:row r="783">
      <x:c r="A783" t="n">
        <x:v>1777</x:v>
      </x:c>
      <x:c r="B783" t="n">
        <x:v>12400</x:v>
      </x:c>
      <x:c r="C783" s="8" t="n">
        <x:v>45161.5</x:v>
      </x:c>
      <x:c r="D783" t="str">
        <x:v>VRNeu65/1</x:v>
      </x:c>
      <x:c r="E783" t="str">
        <x:v>VRNeu65/1</x:v>
      </x:c>
      <x:c r="F783" t="str">
        <x:v>Weber 2023-143</x:v>
      </x:c>
      <x:c r="G783" s="6" t="n">
        <x:v>0</x:v>
      </x:c>
      <x:c r="H783" s="6" t="n">
        <x:v>1493.75</x:v>
      </x:c>
      <x:c r="I783" s="6" t="n">
        <x:f>G783-H783</x:f>
        <x:v>-1493.75</x:v>
      </x:c>
      <x:c r="J783" t="str">
        <x:v>20230101_3311</x:v>
      </x:c>
    </x:row>
    <x:row r="784">
      <x:c r="A784" t="n">
        <x:v>1778</x:v>
      </x:c>
      <x:c r="B784" t="n">
        <x:v>12400</x:v>
      </x:c>
      <x:c r="C784" s="8" t="n">
        <x:v>45188.5</x:v>
      </x:c>
      <x:c r="D784" t="str">
        <x:v>VRNeu73/1</x:v>
      </x:c>
      <x:c r="E784" t="str">
        <x:v>VRNeu73/1</x:v>
      </x:c>
      <x:c r="F784" t="str">
        <x:v>Weiler 2023-159</x:v>
      </x:c>
      <x:c r="G784" s="6" t="n">
        <x:v>0</x:v>
      </x:c>
      <x:c r="H784" s="6" t="n">
        <x:v>3087.2</x:v>
      </x:c>
      <x:c r="I784" s="6" t="n">
        <x:f>G784-H784</x:f>
        <x:v>-3087.2</x:v>
      </x:c>
      <x:c r="J784" t="str">
        <x:v>20230101_3363</x:v>
      </x:c>
    </x:row>
    <x:row r="785">
      <x:c r="A785" t="n">
        <x:v>1779</x:v>
      </x:c>
      <x:c r="B785" t="n">
        <x:v>12400</x:v>
      </x:c>
      <x:c r="C785" s="8" t="n">
        <x:v>45208.5</x:v>
      </x:c>
      <x:c r="D785" t="str">
        <x:v>VRNeu78/2</x:v>
      </x:c>
      <x:c r="E785" t="str">
        <x:v>VRNeu78/2</x:v>
      </x:c>
      <x:c r="F785" t="str">
        <x:v>Wagner 2023-364</x:v>
      </x:c>
      <x:c r="G785" s="6" t="n">
        <x:v>0</x:v>
      </x:c>
      <x:c r="H785" s="6" t="n">
        <x:v>150</x:v>
      </x:c>
      <x:c r="I785" s="6" t="n">
        <x:f>G785-H785</x:f>
        <x:v>-150</x:v>
      </x:c>
      <x:c r="J785" t="str">
        <x:v>20230101_3387</x:v>
      </x:c>
    </x:row>
    <x:row r="786">
      <x:c r="A786" t="n">
        <x:v>1780</x:v>
      </x:c>
      <x:c r="B786" t="n">
        <x:v>12400</x:v>
      </x:c>
      <x:c r="C786" s="8" t="n">
        <x:v>45215.5</x:v>
      </x:c>
      <x:c r="D786" t="str">
        <x:v>VRNeu80/1</x:v>
      </x:c>
      <x:c r="E786" t="str">
        <x:v>VRNeu80/1</x:v>
      </x:c>
      <x:c r="F786" t="str">
        <x:v>Stauber 2023-364</x:v>
      </x:c>
      <x:c r="G786" s="6" t="n">
        <x:v>0</x:v>
      </x:c>
      <x:c r="H786" s="6" t="n">
        <x:v>150</x:v>
      </x:c>
      <x:c r="I786" s="6" t="n">
        <x:f>G786-H786</x:f>
        <x:v>-150</x:v>
      </x:c>
      <x:c r="J786" t="str">
        <x:v>20230101_3395</x:v>
      </x:c>
    </x:row>
    <x:row r="787">
      <x:c r="A787" t="n">
        <x:v>1781</x:v>
      </x:c>
      <x:c r="B787" t="n">
        <x:v>12400</x:v>
      </x:c>
      <x:c r="C787" s="8" t="n">
        <x:v>44977.5</x:v>
      </x:c>
      <x:c r="D787" t="str">
        <x:v>VRNeu9/3</x:v>
      </x:c>
      <x:c r="E787" t="str">
        <x:v>VRNeu9/3</x:v>
      </x:c>
      <x:c r="F787" t="str">
        <x:v>Irene Wittmann 2023-139</x:v>
      </x:c>
      <x:c r="G787" s="6" t="n">
        <x:v>0</x:v>
      </x:c>
      <x:c r="H787" s="6" t="n">
        <x:v>88</x:v>
      </x:c>
      <x:c r="I787" s="6" t="n">
        <x:f>G787-H787</x:f>
        <x:v>-88</x:v>
      </x:c>
      <x:c r="J787" t="str">
        <x:v>20230101_2596</x:v>
      </x:c>
    </x:row>
    <x:row r="788">
      <x:c r="A788" t="n">
        <x:v>1782</x:v>
      </x:c>
      <x:c r="B788" t="n">
        <x:v>12400</x:v>
      </x:c>
      <x:c r="C788" s="8" t="n">
        <x:v>45258.5</x:v>
      </x:c>
      <x:c r="D788" t="str">
        <x:v>VRNeu91/2</x:v>
      </x:c>
      <x:c r="E788" t="str">
        <x:v>VRNeu91/2</x:v>
      </x:c>
      <x:c r="F788" t="str">
        <x:v>Wüstner 2023_389</x:v>
      </x:c>
      <x:c r="G788" s="6" t="n">
        <x:v>0</x:v>
      </x:c>
      <x:c r="H788" s="6" t="n">
        <x:v>136</x:v>
      </x:c>
      <x:c r="I788" s="6" t="n">
        <x:f>G788-H788</x:f>
        <x:v>-136</x:v>
      </x:c>
      <x:c r="J788" t="str">
        <x:v>20230101_3475</x:v>
      </x:c>
    </x:row>
    <x:row r="789">
      <x:c r="A789" t="n">
        <x:v>1783</x:v>
      </x:c>
      <x:c r="B789" t="n">
        <x:v>12400</x:v>
      </x:c>
      <x:c r="C789" s="8" t="n">
        <x:v>45261.5</x:v>
      </x:c>
      <x:c r="D789" t="str">
        <x:v>VRNeu93/2</x:v>
      </x:c>
      <x:c r="E789" t="str">
        <x:v>VRNeu93/2</x:v>
      </x:c>
      <x:c r="F789" t="str">
        <x:v>Weiss 2023_401</x:v>
      </x:c>
      <x:c r="G789" s="6" t="n">
        <x:v>0</x:v>
      </x:c>
      <x:c r="H789" s="6" t="n">
        <x:v>197.4</x:v>
      </x:c>
      <x:c r="I789" s="6" t="n">
        <x:f>G789-H789</x:f>
        <x:v>-197.4</x:v>
      </x:c>
      <x:c r="J789" t="str">
        <x:v>20230101_3488</x:v>
      </x:c>
    </x:row>
    <x:row r="790">
      <x:c r="A790" t="n">
        <x:v>1784</x:v>
      </x:c>
      <x:c r="B790" t="n">
        <x:v>12400</x:v>
      </x:c>
      <x:c r="C790" s="8" t="n">
        <x:v>45264.5</x:v>
      </x:c>
      <x:c r="D790" t="str">
        <x:v>VRNeu94/1</x:v>
      </x:c>
      <x:c r="E790" t="str">
        <x:v>VRNeu94/1</x:v>
      </x:c>
      <x:c r="F790" t="str">
        <x:v>Wetter 2023_391</x:v>
      </x:c>
      <x:c r="G790" s="6" t="n">
        <x:v>0</x:v>
      </x:c>
      <x:c r="H790" s="6" t="n">
        <x:v>198</x:v>
      </x:c>
      <x:c r="I790" s="6" t="n">
        <x:f>G790-H790</x:f>
        <x:v>-198</x:v>
      </x:c>
      <x:c r="J790" t="str">
        <x:v>20230101_3492</x:v>
      </x:c>
    </x:row>
    <x:row r="791">
      <x:c r="A791" t="n">
        <x:v>1785</x:v>
      </x:c>
      <x:c r="B791" t="n">
        <x:v>12700</x:v>
      </x:c>
      <x:c r="C791" s="8" t="n">
        <x:v>44977.5</x:v>
      </x:c>
      <x:c r="D791" t="str">
        <x:v>151</x:v>
      </x:c>
      <x:c r="E791" t="str">
        <x:v>151</x:v>
      </x:c>
      <x:c r="F791" t="str">
        <x:v>Zeini, Costa Rica</x:v>
      </x:c>
      <x:c r="G791" s="6" t="n">
        <x:v>3679</x:v>
      </x:c>
      <x:c r="H791" s="6" t="n">
        <x:v>0</x:v>
      </x:c>
      <x:c r="I791" s="6" t="n">
        <x:f>G791-H791</x:f>
        <x:v>3679</x:v>
      </x:c>
      <x:c r="J791" t="str">
        <x:v>20230101_2590</x:v>
      </x:c>
    </x:row>
    <x:row r="792">
      <x:c r="A792" t="n">
        <x:v>1790</x:v>
      </x:c>
      <x:c r="B792" t="n">
        <x:v>12700</x:v>
      </x:c>
      <x:c r="C792" s="8" t="n">
        <x:v>45041.5</x:v>
      </x:c>
      <x:c r="D792" t="str">
        <x:v>2023%260</x:v>
      </x:c>
      <x:c r="E792" t="str">
        <x:v>2023%260</x:v>
      </x:c>
      <x:c r="F792" t="str">
        <x:v>Emily Ziesche</x:v>
      </x:c>
      <x:c r="G792" s="6" t="n">
        <x:v>500</x:v>
      </x:c>
      <x:c r="H792" s="6" t="n">
        <x:v>0</x:v>
      </x:c>
      <x:c r="I792" s="6" t="n">
        <x:f>G792-H792</x:f>
        <x:v>500</x:v>
      </x:c>
      <x:c r="J792" t="str">
        <x:v>20230101_2877</x:v>
      </x:c>
    </x:row>
    <x:row r="793">
      <x:c r="A793" t="n">
        <x:v>1791</x:v>
      </x:c>
      <x:c r="B793" t="n">
        <x:v>12700</x:v>
      </x:c>
      <x:c r="C793" s="8" t="n">
        <x:v>45048.5</x:v>
      </x:c>
      <x:c r="D793" t="str">
        <x:v>VRNeu35/2</x:v>
      </x:c>
      <x:c r="E793" t="str">
        <x:v>VRNeu35/2</x:v>
      </x:c>
      <x:c r="F793" t="str">
        <x:v>Ziesche 2023-260</x:v>
      </x:c>
      <x:c r="G793" s="6" t="n">
        <x:v>0</x:v>
      </x:c>
      <x:c r="H793" s="6" t="n">
        <x:v>200</x:v>
      </x:c>
      <x:c r="I793" s="6" t="n">
        <x:f>G793-H793</x:f>
        <x:v>-200</x:v>
      </x:c>
      <x:c r="J793" t="str">
        <x:v>20230101_2924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19" hidden="0" customWidth="1"/>
    <x:col min="4" max="4" width="20" hidden="0" customWidth="1"/>
    <x:col min="5" max="5" width="115" hidden="0" customWidth="1"/>
  </x:cols>
  <x:sheetData>
    <x:row r="1">
      <x:c r="A1" s="2" t="str">
        <x:v>Quelle: Jamso Trainee, Excel Zahlungsverlauf.xlsx, Blatt „2024“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 t="str">
        <x:v>Auszug zu in Hauptliste/Aufteilung genannten Rechnungen; Vermerke J/L/N/P/Q/S/U/V in Originalspalten.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0" customHeight="1">
      <x:c r="A4" s="4" t="str">
        <x:v>Quellzeile</x:v>
      </x:c>
      <x:c r="B4" s="4" t="str">
        <x:v>Name</x:v>
      </x:c>
      <x:c r="C4" s="4" t="str">
        <x:v>Rechnung</x:v>
      </x:c>
      <x:c r="D4" s="4" t="str">
        <x:v>Rechnungsbetrag I</x:v>
      </x:c>
      <x:c r="E4" s="4" t="str">
        <x:v>Zahlungs-/Terminvermerke original</x:v>
      </x:c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n">
        <x:v>2</x:v>
      </x:c>
      <x:c r="B5" s="2" t="str">
        <x:v>Ortner</x:v>
      </x:c>
      <x:c r="C5" s="2" t="str">
        <x:v>2024-104</x:v>
      </x:c>
      <x:c r="D5" s="5" t="n">
        <x:v>883.5</x:v>
      </x:c>
      <x:c r="E5" s="2" t="str">
        <x:v>Q=883.5; S=1/18/2024</x:v>
      </x:c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 t="n">
        <x:v>4</x:v>
      </x:c>
      <x:c r="B6" s="2" t="str">
        <x:v>Erdmenger/Terhorst</x:v>
      </x:c>
      <x:c r="C6" s="2" t="str">
        <x:v>2024-106</x:v>
      </x:c>
      <x:c r="D6" s="5" t="n">
        <x:v>16400</x:v>
      </x:c>
      <x:c r="E6" s="2" t="str">
        <x:v>J=3280; L=10.01.2024; N=3280; P=03.06.2024; Q=9840; S=31.05.2024</x:v>
      </x:c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n">
        <x:v>5</x:v>
      </x:c>
      <x:c r="B7" s="2" t="str">
        <x:v>Richter</x:v>
      </x:c>
      <x:c r="C7" s="2" t="str">
        <x:v>2024-107</x:v>
      </x:c>
      <x:c r="D7" s="5" t="n">
        <x:v>15490</x:v>
      </x:c>
      <x:c r="E7" s="2" t="str">
        <x:v>J=3098; L=19.01.2024; N=3098; P=3/13/2024; Q=9294; S=24.05.2024</x:v>
      </x:c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n">
        <x:v>11</x:v>
      </x:c>
      <x:c r="B8" s="2" t="str">
        <x:v>Werner</x:v>
      </x:c>
      <x:c r="C8" s="2" t="str">
        <x:v>2024-113</x:v>
      </x:c>
      <x:c r="D8" s="5" t="n">
        <x:v>6890</x:v>
      </x:c>
      <x:c r="E8" s="2" t="str">
        <x:v>J=1378; L=18.01.2024; Q=5632; S=5632; T=03.06.2024/17.06.24; U=fehlen 120,00€ für die 4 extra Tage, wurde noch gezahlt; V=tanjawerner70@web.de</x:v>
      </x:c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 t="n">
        <x:v>17</x:v>
      </x:c>
      <x:c r="B9" s="2" t="str">
        <x:v>Kegel Sophie</x:v>
      </x:c>
      <x:c r="C9" s="2" t="str">
        <x:v>2024-119</x:v>
      </x:c>
      <x:c r="D9" s="5" t="n">
        <x:v>4119</x:v>
      </x:c>
      <x:c r="E9" s="2" t="str">
        <x:v>J=823.8; L=11.03.2024; Q=3295.2; S=ZE raus 15.02.2025; U=sophie.kegel1203@gmail.com</x:v>
      </x:c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n">
        <x:v>21</x:v>
      </x:c>
      <x:c r="B10" s="2" t="str">
        <x:v>Baladier</x:v>
      </x:c>
      <x:c r="C10" s="2" t="str">
        <x:v>2024-123</x:v>
      </x:c>
      <x:c r="D10" s="5" t="n">
        <x:v>2244</x:v>
      </x:c>
      <x:c r="E10" s="2" t="str">
        <x:v>J=695.6; L=wurde zuviel gezahtl; Q=695.6; T=Info Mail an Ines raus</x:v>
      </x:c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n">
        <x:v>22</x:v>
      </x:c>
      <x:c r="B11" s="2" t="str">
        <x:v>Tjin</x:v>
      </x:c>
      <x:c r="C11" s="2" t="str">
        <x:v>2024-124</x:v>
      </x:c>
      <x:c r="D11" s="5" t="n">
        <x:v>0</x:v>
      </x:c>
      <x:c r="E11" s="2" t="str">
        <x:v>J=351.61; Q=1406.4; S=1662.2; T=03.01.2025; U=zu wenig, wegen der Umrechnung 95,81€ zu wenig erhalten</x:v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n">
        <x:v>25</x:v>
      </x:c>
      <x:c r="B12" s="2" t="str">
        <x:v>Sheridan</x:v>
      </x:c>
      <x:c r="C12" s="2" t="str">
        <x:v>2024-127</x:v>
      </x:c>
      <x:c r="D12" s="5" t="n">
        <x:v>830</x:v>
      </x:c>
      <x:c r="E12" s="2" t="str">
        <x:v>Q=332</x:v>
      </x:c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 t="n">
        <x:v>32</x:v>
      </x:c>
      <x:c r="B13" s="2" t="str">
        <x:v>Bielefeld</x:v>
      </x:c>
      <x:c r="C13" s="2" t="str">
        <x:v>2024-134</x:v>
      </x:c>
      <x:c r="D13" s="5" t="n">
        <x:v>2960</x:v>
      </x:c>
      <x:c r="E13" s="2" t="str">
        <x:v>J=290; L=18.03.2024; N=1160; Q=340; S=10.06.2024; T=dankesmail raus; U=1360; V=12/23/2024</x:v>
      </x:c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 t="n">
        <x:v>49</x:v>
      </x:c>
      <x:c r="B14" s="2" t="str">
        <x:v>Garcia Lopez</x:v>
      </x:c>
      <x:c r="C14" s="2" t="str">
        <x:v>2024-150</x:v>
      </x:c>
      <x:c r="D14" s="5" t="n">
        <x:v>944</x:v>
      </x:c>
      <x:c r="E14" s="2" t="str">
        <x:v>Q=944</x:v>
      </x:c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 t="n">
        <x:v>53</x:v>
      </x:c>
      <x:c r="B15" s="2" t="str">
        <x:v>Benz Annina</x:v>
      </x:c>
      <x:c r="C15" s="2" t="str">
        <x:v>2024-153</x:v>
      </x:c>
      <x:c r="D15" s="5" t="n">
        <x:v>811</x:v>
      </x:c>
      <x:c r="E15" s="2" t="str">
        <x:v>J=162.2; L=Zahlungserinnerung raus 20.03.2024; Q=648.8; S=13.05.2024</x:v>
      </x:c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 t="n">
        <x:v>54</x:v>
      </x:c>
      <x:c r="B16" s="2" t="str">
        <x:v>Krause</x:v>
      </x:c>
      <x:c r="C16" s="2" t="str">
        <x:v>2024-154</x:v>
      </x:c>
      <x:c r="D16" s="5" t="n">
        <x:v>1496</x:v>
      </x:c>
      <x:c r="E16" s="2" t="str">
        <x:v>J=0; Q=1496; S=03.01.2024; T=02.04.1904; U=Dankemail raus</x:v>
      </x:c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 t="n">
        <x:v>62</x:v>
      </x:c>
      <x:c r="B17" s="2" t="str">
        <x:v>Katharina Ortner</x:v>
      </x:c>
      <x:c r="C17" s="2" t="str">
        <x:v>2024-160</x:v>
      </x:c>
      <x:c r="D17" s="5" t="n">
        <x:v>362.7</x:v>
      </x:c>
      <x:c r="E17" s="2" t="str">
        <x:v>Q=362.7; S=03.11.2024; T=dankesmail raus</x:v>
      </x:c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 t="n">
        <x:v>64</x:v>
      </x:c>
      <x:c r="B18" s="2" t="str">
        <x:v>Leon Schyma / Haasis</x:v>
      </x:c>
      <x:c r="C18" s="2" t="str">
        <x:v>2024-162</x:v>
      </x:c>
      <x:c r="D18" s="5" t="n">
        <x:v>362.7</x:v>
      </x:c>
      <x:c r="E18" s="2" t="str">
        <x:v>Q=362.7; S=03.12.2024; T=dankesmail raus</x:v>
      </x:c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 t="n">
        <x:v>67</x:v>
      </x:c>
      <x:c r="B19" s="2" t="str">
        <x:v>Devin Searcy</x:v>
      </x:c>
      <x:c r="C19" s="2" t="str">
        <x:v>2024-165</x:v>
      </x:c>
      <x:c r="D19" s="5" t="n">
        <x:v>472.5</x:v>
      </x:c>
      <x:c r="E19" s="2" t="str">
        <x:v>J=189; L=Ze raus am 11.05.2024; Q=283.5</x:v>
      </x:c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 t="n">
        <x:v>73</x:v>
      </x:c>
      <x:c r="B20" s="2" t="str">
        <x:v>Annalena Baumgärtner</x:v>
      </x:c>
      <x:c r="C20" s="2" t="str">
        <x:v>2024-171</x:v>
      </x:c>
      <x:c r="D20" s="5" t="n">
        <x:v>830</x:v>
      </x:c>
      <x:c r="E20" s="2" t="str">
        <x:v>J=332; L=28.03.2024; Q=498</x:v>
      </x:c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t="n">
        <x:v>76</x:v>
      </x:c>
      <x:c r="B21" t="str">
        <x:v>Anna Herzog</x:v>
      </x:c>
      <x:c r="C21" t="str">
        <x:v>2024-174</x:v>
      </x:c>
      <x:c r="D21" s="6" t="n">
        <x:v>16400</x:v>
      </x:c>
      <x:c r="E21" t="str">
        <x:v>J=6560; L=11.04.2024; Q=9840; S=19.06.2024; T=dankesmail raus</x:v>
      </x:c>
    </x:row>
    <x:row r="22">
      <x:c r="A22" t="n">
        <x:v>78</x:v>
      </x:c>
      <x:c r="B22" t="str">
        <x:v>Carla Frey</x:v>
      </x:c>
      <x:c r="C22" t="str">
        <x:v>2024-176</x:v>
      </x:c>
      <x:c r="D22" s="6" t="n">
        <x:v>11600</x:v>
      </x:c>
      <x:c r="E22" t="str">
        <x:v>J=4640; L=19.04.2024; Q=6960; S=?</x:v>
      </x:c>
    </x:row>
    <x:row r="23">
      <x:c r="A23" t="n">
        <x:v>86</x:v>
      </x:c>
      <x:c r="B23" t="str">
        <x:v>Vivien Ullrich</x:v>
      </x:c>
      <x:c r="C23" t="str">
        <x:v>2024-184</x:v>
      </x:c>
      <x:c r="D23" s="6" t="n">
        <x:v>2040</x:v>
      </x:c>
      <x:c r="E23" t="str">
        <x:v>J=408; Q=1632</x:v>
      </x:c>
    </x:row>
    <x:row r="24">
      <x:c r="A24" t="n">
        <x:v>87</x:v>
      </x:c>
      <x:c r="B24" t="str">
        <x:v>Annina Benz</x:v>
      </x:c>
      <x:c r="C24" t="str">
        <x:v>2024-185</x:v>
      </x:c>
      <x:c r="D24" s="6" t="n">
        <x:v>70</x:v>
      </x:c>
      <x:c r="E24" t="str">
        <x:v>Q=70</x:v>
      </x:c>
    </x:row>
    <x:row r="25">
      <x:c r="A25" t="n">
        <x:v>89</x:v>
      </x:c>
      <x:c r="B25" t="str">
        <x:v>Albane Pessemesse</x:v>
      </x:c>
      <x:c r="C25" t="str">
        <x:v>2024-186</x:v>
      </x:c>
      <x:c r="D25" s="6" t="n">
        <x:v>910</x:v>
      </x:c>
      <x:c r="E25" t="str">
        <x:v>J=182; L=26.04.2024</x:v>
      </x:c>
    </x:row>
    <x:row r="26">
      <x:c r="A26" t="n">
        <x:v>91</x:v>
      </x:c>
      <x:c r="B26" t="str">
        <x:v>Alis Sherrington</x:v>
      </x:c>
      <x:c r="C26" t="str">
        <x:v>2024-188</x:v>
      </x:c>
      <x:c r="D26" s="6" t="n">
        <x:v>67.2</x:v>
      </x:c>
      <x:c r="E26" t="str">
        <x:v>Q=67.2; S=29.04.2024</x:v>
      </x:c>
    </x:row>
    <x:row r="27">
      <x:c r="A27" t="n">
        <x:v>96</x:v>
      </x:c>
      <x:c r="B27" t="str">
        <x:v>Carmen Kemmer</x:v>
      </x:c>
      <x:c r="C27" t="str">
        <x:v>2024-193</x:v>
      </x:c>
      <x:c r="D27" s="6" t="n">
        <x:v>523</x:v>
      </x:c>
      <x:c r="E27" t="str">
        <x:v>J=104.6; Q=418.4; S=wird in 2025 storniert; T=da ein neue Rechnung in 2025 erstellt wird</x:v>
      </x:c>
    </x:row>
    <x:row r="28">
      <x:c r="A28" t="n">
        <x:v>99</x:v>
      </x:c>
      <x:c r="B28" t="str">
        <x:v>Eva Friedrich</x:v>
      </x:c>
      <x:c r="C28" t="str">
        <x:v>2024-196</x:v>
      </x:c>
      <x:c r="D28" s="6" t="n">
        <x:v>901</x:v>
      </x:c>
      <x:c r="E28" t="str">
        <x:v>J=180.2; L=29.04.2024; Q=720.8; S=29.04.0204; T=dankesmail raus</x:v>
      </x:c>
    </x:row>
    <x:row r="29">
      <x:c r="A29" t="n">
        <x:v>105</x:v>
      </x:c>
      <x:c r="B29" t="str">
        <x:v>Jamie Cole</x:v>
      </x:c>
      <x:c r="C29" t="str">
        <x:v>2024-202</x:v>
      </x:c>
      <x:c r="D29" s="6" t="n">
        <x:v>1185</x:v>
      </x:c>
      <x:c r="E29" t="str">
        <x:v>J=237; Q=948; S=ZE raus 13.07.2024</x:v>
      </x:c>
    </x:row>
    <x:row r="30">
      <x:c r="A30" t="n">
        <x:v>106</x:v>
      </x:c>
      <x:c r="B30" t="str">
        <x:v>Lea Wette</x:v>
      </x:c>
      <x:c r="C30" t="str">
        <x:v>2024-203</x:v>
      </x:c>
      <x:c r="D30" s="6" t="n">
        <x:v>2510</x:v>
      </x:c>
      <x:c r="E30" t="str">
        <x:v>J=502; L=31.05.2024; Q=2098; S=02.09.2024; T=daneks Mail raus; U=90,00€ zu viel gezahlt, wofür?</x:v>
      </x:c>
    </x:row>
    <x:row r="31">
      <x:c r="A31" t="n">
        <x:v>110</x:v>
      </x:c>
      <x:c r="B31" t="str">
        <x:v>Sara Scholtz</x:v>
      </x:c>
      <x:c r="C31" t="str">
        <x:v>2024-207</x:v>
      </x:c>
      <x:c r="D31" s="6" t="n">
        <x:v>15100</x:v>
      </x:c>
      <x:c r="E31" t="str">
        <x:v>J=3020; L=13.05.2024; N=3020; P=03.02.2025; Q=9060; S=14.05.2025; T=danke Mail raus</x:v>
      </x:c>
    </x:row>
    <x:row r="32">
      <x:c r="A32" t="n">
        <x:v>112</x:v>
      </x:c>
      <x:c r="B32" t="str">
        <x:v>Anna Herzog</x:v>
      </x:c>
      <x:c r="C32" t="str">
        <x:v>2024-209</x:v>
      </x:c>
      <x:c r="D32" s="6" t="n">
        <x:v>1400</x:v>
      </x:c>
      <x:c r="E32" t="str">
        <x:v>J=280; L=17.06.2024; Q=1120; S=ZE raus 15.02.2025; T=24.02.2025; U=Danke Mail raus</x:v>
      </x:c>
    </x:row>
    <x:row r="33">
      <x:c r="A33" t="n">
        <x:v>115</x:v>
      </x:c>
      <x:c r="B33" t="str">
        <x:v>Marie Müller</x:v>
      </x:c>
      <x:c r="C33" t="str">
        <x:v>2024-212</x:v>
      </x:c>
      <x:c r="D33" s="6" t="n">
        <x:v>950</x:v>
      </x:c>
      <x:c r="E33" t="str">
        <x:v>J=190; L=11.06.2024; Q=760; S=23.12.2024; T=danke Mail raus</x:v>
      </x:c>
    </x:row>
    <x:row r="34">
      <x:c r="A34" t="n">
        <x:v>116</x:v>
      </x:c>
      <x:c r="B34" t="str">
        <x:v>Harriet Lumley</x:v>
      </x:c>
      <x:c r="C34" t="str">
        <x:v>2024-213</x:v>
      </x:c>
      <x:c r="D34" s="6" t="n">
        <x:v>3632</x:v>
      </x:c>
      <x:c r="E34" t="str">
        <x:v>J=726.4; L=ZE raus am 23.06.2024; N=Dankesmail raus; Q=2905.6; S=26.03.2025; T=danke Mail raus</x:v>
      </x:c>
    </x:row>
    <x:row r="35">
      <x:c r="A35" t="n">
        <x:v>117</x:v>
      </x:c>
      <x:c r="B35" t="str">
        <x:v>Drissa Doumbia</x:v>
      </x:c>
      <x:c r="C35" t="str">
        <x:v>2024-214</x:v>
      </x:c>
      <x:c r="D35" s="6" t="n">
        <x:v>3820</x:v>
      </x:c>
      <x:c r="E35" t="str">
        <x:v>L=wurde storniert ; Q=3820; S=ZE raus 23.06.2024</x:v>
      </x:c>
    </x:row>
    <x:row r="36">
      <x:c r="A36" t="n">
        <x:v>121</x:v>
      </x:c>
      <x:c r="B36" t="str">
        <x:v>Haley Lindale</x:v>
      </x:c>
      <x:c r="C36" t="str">
        <x:v>2024-218</x:v>
      </x:c>
      <x:c r="D36" s="6" t="n">
        <x:v>632</x:v>
      </x:c>
      <x:c r="E36" t="str">
        <x:v>Q=252.8</x:v>
      </x:c>
    </x:row>
    <x:row r="37">
      <x:c r="A37" t="n">
        <x:v>123</x:v>
      </x:c>
      <x:c r="B37" t="str">
        <x:v>Sophie Kegel</x:v>
      </x:c>
      <x:c r="C37" t="str">
        <x:v>2024-220</x:v>
      </x:c>
      <x:c r="D37" s="6" t="n">
        <x:v>2245</x:v>
      </x:c>
      <x:c r="E37" t="str">
        <x:v>J=449; L=ZE raus am 23.06.2024; Q=1796; S=02.07.2024; T=dankes Mail raus ; U=sophie.kegel1203@gmail.com</x:v>
      </x:c>
    </x:row>
    <x:row r="38">
      <x:c r="A38" t="n">
        <x:v>126</x:v>
      </x:c>
      <x:c r="B38" t="str">
        <x:v>Lea Wette</x:v>
      </x:c>
      <x:c r="C38" t="str">
        <x:v>2024-223</x:v>
      </x:c>
      <x:c r="D38" s="6" t="n">
        <x:v>2280</x:v>
      </x:c>
      <x:c r="E38" t="str">
        <x:v>J=456; Q=1824; S=02.09.2024; T=dankes Mail raus </x:v>
      </x:c>
    </x:row>
    <x:row r="39">
      <x:c r="A39" t="n">
        <x:v>136</x:v>
      </x:c>
      <x:c r="B39" t="str">
        <x:v>Simon Pirhofer</x:v>
      </x:c>
      <x:c r="C39" t="str">
        <x:v>2024-233</x:v>
      </x:c>
      <x:c r="D39" s="6" t="n">
        <x:v>921</x:v>
      </x:c>
      <x:c r="E39" t="str">
        <x:v>J=184.2; L=25.06.2024; Q=736.8; S=24.07.2024; T=danke Mail raus</x:v>
      </x:c>
    </x:row>
    <x:row r="40">
      <x:c r="A40" t="n">
        <x:v>139</x:v>
      </x:c>
      <x:c r="B40" t="str">
        <x:v>Sahra Richter</x:v>
      </x:c>
      <x:c r="C40" t="str">
        <x:v>2024-236</x:v>
      </x:c>
      <x:c r="D40" s="6" t="n">
        <x:v>1590</x:v>
      </x:c>
      <x:c r="E40" t="str">
        <x:v>Q=1590; S=Guthaben 210,00€</x:v>
      </x:c>
    </x:row>
    <x:row r="41">
      <x:c r="A41" t="n">
        <x:v>140</x:v>
      </x:c>
      <x:c r="B41" t="str">
        <x:v>Lucy Marie Erdmenger/Terhorst</x:v>
      </x:c>
      <x:c r="C41" t="str">
        <x:v>2024-237</x:v>
      </x:c>
      <x:c r="D41" s="6" t="n">
        <x:v>380</x:v>
      </x:c>
      <x:c r="E41" t="str">
        <x:v>Q=380; S=23.10.2024; T=danke Mail raus</x:v>
      </x:c>
    </x:row>
    <x:row r="42">
      <x:c r="A42" t="n">
        <x:v>154</x:v>
      </x:c>
      <x:c r="B42" t="str">
        <x:v>Frieda Christina Niegel</x:v>
      </x:c>
      <x:c r="C42" t="str">
        <x:v>2024-251</x:v>
      </x:c>
      <x:c r="D42" s="6" t="n">
        <x:v>16400</x:v>
      </x:c>
      <x:c r="E42" t="str">
        <x:v>J=3280; L=25.07+26.07.2024; N=3280; P=17.02.2025; Q=9840; T=danke Mail raus für 17.02.2025; U=da die Reisende gesundheitliche Probleme hat, wird eine Stornorechnung in 2025 erstellt.</x:v>
      </x:c>
    </x:row>
    <x:row r="43">
      <x:c r="A43" t="n">
        <x:v>155</x:v>
      </x:c>
      <x:c r="B43" t="str">
        <x:v>Andrea Friedrich</x:v>
      </x:c>
      <x:c r="C43" t="str">
        <x:v>2024-252</x:v>
      </x:c>
      <x:c r="D43" s="6" t="n">
        <x:v>720</x:v>
      </x:c>
      <x:c r="E43" t="str">
        <x:v>Q=720; S=19.07.2024; T=danke Mail raus</x:v>
      </x:c>
    </x:row>
    <x:row r="44">
      <x:c r="A44" t="n">
        <x:v>156</x:v>
      </x:c>
      <x:c r="B44" t="str">
        <x:v>Emmy Schäfer</x:v>
      </x:c>
      <x:c r="C44" t="str">
        <x:v>2024-253</x:v>
      </x:c>
      <x:c r="D44" s="6" t="n">
        <x:v>9900</x:v>
      </x:c>
      <x:c r="E44" t="str">
        <x:v>J=1980; L=24.07.2024; N=1980; P=?; Q=5940</x:v>
      </x:c>
    </x:row>
    <x:row r="45">
      <x:c r="A45" t="n">
        <x:v>157</x:v>
      </x:c>
      <x:c r="B45" t="str">
        <x:v>Dean Krause</x:v>
      </x:c>
      <x:c r="C45" t="str">
        <x:v>2024-254</x:v>
      </x:c>
      <x:c r="D45" s="6" t="n">
        <x:v>138</x:v>
      </x:c>
      <x:c r="E45" t="str">
        <x:v>Q=138</x:v>
      </x:c>
    </x:row>
    <x:row r="46">
      <x:c r="A46" t="n">
        <x:v>159</x:v>
      </x:c>
      <x:c r="B46" t="str">
        <x:v>Marielle Münchow</x:v>
      </x:c>
      <x:c r="C46" t="str">
        <x:v>2024-255</x:v>
      </x:c>
      <x:c r="D46" s="6" t="n">
        <x:v>920</x:v>
      </x:c>
      <x:c r="E46" t="str">
        <x:v>Q=368; S=23.07.2024; T=Danke Mail raus</x:v>
      </x:c>
    </x:row>
    <x:row r="47">
      <x:c r="A47" t="n">
        <x:v>160</x:v>
      </x:c>
      <x:c r="B47" t="str">
        <x:v>Alexandre Berthault</x:v>
      </x:c>
      <x:c r="C47" t="str">
        <x:v>2024-256</x:v>
      </x:c>
      <x:c r="D47" s="6" t="n">
        <x:v>830</x:v>
      </x:c>
      <x:c r="E47" t="str">
        <x:v>L=428,00 minus 150,00 Paypal Zahlung gleich 278,00€; Q=278; S=22.07.2024</x:v>
      </x:c>
    </x:row>
    <x:row r="48">
      <x:c r="A48" t="n">
        <x:v>163</x:v>
      </x:c>
      <x:c r="B48" t="str">
        <x:v>Jara Maier</x:v>
      </x:c>
      <x:c r="C48" t="str">
        <x:v>2024-259</x:v>
      </x:c>
      <x:c r="D48" s="6" t="n">
        <x:v>680</x:v>
      </x:c>
      <x:c r="E48" t="str">
        <x:v>J=136; Q=544; S=wurde storniert, muss ausgebucht werden</x:v>
      </x:c>
    </x:row>
    <x:row r="49">
      <x:c r="A49" t="n">
        <x:v>164</x:v>
      </x:c>
      <x:c r="B49" t="str">
        <x:v>Akawung Moses</x:v>
      </x:c>
      <x:c r="C49" t="str">
        <x:v>2024-260</x:v>
      </x:c>
      <x:c r="D49" s="6" t="n">
        <x:v>441</x:v>
      </x:c>
      <x:c r="E49" t="str">
        <x:v>Q=441; S=nicht angereist. Muss storniert werden</x:v>
      </x:c>
    </x:row>
    <x:row r="50">
      <x:c r="A50" t="n">
        <x:v>165</x:v>
      </x:c>
      <x:c r="B50" t="str">
        <x:v>Nicole Farrier</x:v>
      </x:c>
      <x:c r="C50" t="str">
        <x:v>2024-261</x:v>
      </x:c>
      <x:c r="D50" s="6" t="n">
        <x:v>477</x:v>
      </x:c>
      <x:c r="E50" t="str">
        <x:v>J=95.4; Q=381.6; S=28.11.2024; T=danke Mail raus</x:v>
      </x:c>
    </x:row>
    <x:row r="51">
      <x:c r="A51" t="n">
        <x:v>168</x:v>
      </x:c>
      <x:c r="B51" t="str">
        <x:v>Alexandria Tokarzk</x:v>
      </x:c>
      <x:c r="C51" t="str">
        <x:v>2024-264</x:v>
      </x:c>
      <x:c r="D51" s="6" t="n">
        <x:v>1594</x:v>
      </x:c>
      <x:c r="E51" t="str">
        <x:v>J=318.8; L=477,00€ am 22.10.2024 per PayPal; N=158,20€ zuviel; Q=1117; S=17.03.2024; T=danke Mail raus</x:v>
      </x:c>
    </x:row>
    <x:row r="52">
      <x:c r="A52" t="n">
        <x:v>176</x:v>
      </x:c>
      <x:c r="B52" t="str">
        <x:v>Aleskei Tkachenko</x:v>
      </x:c>
      <x:c r="C52" t="str">
        <x:v>2024-272</x:v>
      </x:c>
      <x:c r="D52" s="6" t="n">
        <x:v>9900</x:v>
      </x:c>
      <x:c r="E52" t="str">
        <x:v>J=3960; L=02.08.2024; Q=5940; S=5940; T=16.12.2024/17.12.2024; U=Danke Mail raus</x:v>
      </x:c>
    </x:row>
    <x:row r="53">
      <x:c r="A53" t="n">
        <x:v>180</x:v>
      </x:c>
      <x:c r="B53" t="str">
        <x:v>Carla Frey</x:v>
      </x:c>
      <x:c r="C53" t="str">
        <x:v>2024-276</x:v>
      </x:c>
      <x:c r="D53" s="6" t="n">
        <x:v>1140</x:v>
      </x:c>
      <x:c r="E53" t="str">
        <x:v>J=228; Q=912; S=1140; T=16.08.2024; U=Danke Mail raus</x:v>
      </x:c>
    </x:row>
    <x:row r="54">
      <x:c r="A54" t="n">
        <x:v>182</x:v>
      </x:c>
      <x:c r="B54" t="str">
        <x:v>Simon Pirhofer</x:v>
      </x:c>
      <x:c r="C54" t="str">
        <x:v>2024-278</x:v>
      </x:c>
      <x:c r="D54" s="6" t="n">
        <x:v>120</x:v>
      </x:c>
      <x:c r="E54" t="str">
        <x:v>Q=120; S=20.08.2024; T=Danke Mail raus</x:v>
      </x:c>
    </x:row>
    <x:row r="55">
      <x:c r="A55" t="n">
        <x:v>183</x:v>
      </x:c>
      <x:c r="B55" t="str">
        <x:v>Emilio Leon Reyes</x:v>
      </x:c>
      <x:c r="C55" t="str">
        <x:v>2024-279</x:v>
      </x:c>
      <x:c r="D55" s="6" t="n">
        <x:v>13800</x:v>
      </x:c>
      <x:c r="E55" t="str">
        <x:v>J=2760; N=2760; P=Danke Mail raus; Q=8280; S=02.06.2025; T=Danke Mail raus</x:v>
      </x:c>
    </x:row>
    <x:row r="56">
      <x:c r="A56" t="n">
        <x:v>184</x:v>
      </x:c>
      <x:c r="B56" t="str">
        <x:v>Marielle Münchow</x:v>
      </x:c>
      <x:c r="C56" t="str">
        <x:v>2024-280</x:v>
      </x:c>
      <x:c r="D56" s="6" t="n">
        <x:v>452</x:v>
      </x:c>
      <x:c r="E56" t="str">
        <x:v>Q=452; S=Ausbuchen, da Anwalt eingeschaltet</x:v>
      </x:c>
    </x:row>
    <x:row r="57">
      <x:c r="A57" t="n">
        <x:v>185</x:v>
      </x:c>
      <x:c r="B57" t="str">
        <x:v>Sophie Schindler</x:v>
      </x:c>
      <x:c r="C57" t="str">
        <x:v>2024-281</x:v>
      </x:c>
      <x:c r="D57" s="6" t="n">
        <x:v>2539</x:v>
      </x:c>
      <x:c r="E57" t="str">
        <x:v>J=507.8; L=03.09.2024; Q=2031.2; S=23.05.2025; T=Danke Mail raus</x:v>
      </x:c>
    </x:row>
    <x:row r="58">
      <x:c r="A58" t="n">
        <x:v>186</x:v>
      </x:c>
      <x:c r="B58" t="str">
        <x:v>Brittanne Macey</x:v>
      </x:c>
      <x:c r="C58" t="str">
        <x:v>2024-282</x:v>
      </x:c>
      <x:c r="D58" s="6" t="n">
        <x:v>432</x:v>
      </x:c>
      <x:c r="E58" t="str">
        <x:v>J=86.4; P=per PayPal; Q=345.6; S=Danke Mail Raus</x:v>
      </x:c>
    </x:row>
    <x:row r="59">
      <x:c r="A59" t="n">
        <x:v>188</x:v>
      </x:c>
      <x:c r="B59" t="str">
        <x:v>Heloise Parent</x:v>
      </x:c>
      <x:c r="C59" t="str">
        <x:v>2024-284</x:v>
      </x:c>
      <x:c r="D59" s="6" t="n">
        <x:v>858</x:v>
      </x:c>
      <x:c r="E59" t="str">
        <x:v>Q=343.2; S=ZE raus am 11.09.2024</x:v>
      </x:c>
    </x:row>
    <x:row r="60">
      <x:c r="A60" t="n">
        <x:v>189</x:v>
      </x:c>
      <x:c r="B60" t="str">
        <x:v>Annalena Baumgärtner</x:v>
      </x:c>
      <x:c r="C60" t="str">
        <x:v>2024-285</x:v>
      </x:c>
      <x:c r="D60" s="6" t="n">
        <x:v>30</x:v>
      </x:c>
      <x:c r="E60" t="str">
        <x:v>Q=30</x:v>
      </x:c>
    </x:row>
    <x:row r="61">
      <x:c r="A61" t="n">
        <x:v>192</x:v>
      </x:c>
      <x:c r="B61" t="str">
        <x:v>Sofie Korczak</x:v>
      </x:c>
      <x:c r="C61" t="str">
        <x:v>2024-288</x:v>
      </x:c>
      <x:c r="D61" s="6" t="n">
        <x:v>1726</x:v>
      </x:c>
      <x:c r="E61" t="str">
        <x:v>J=345.2; Q=1380.2; S=03.01.2025; T=danke Mail raus</x:v>
      </x:c>
    </x:row>
    <x:row r="62">
      <x:c r="A62" t="n">
        <x:v>193</x:v>
      </x:c>
      <x:c r="B62" t="str">
        <x:v>Anna Herzog</x:v>
      </x:c>
      <x:c r="C62" t="str">
        <x:v>2024-289</x:v>
      </x:c>
      <x:c r="D62" s="6" t="n">
        <x:v>380</x:v>
      </x:c>
      <x:c r="E62" t="str">
        <x:v>Q=380</x:v>
      </x:c>
    </x:row>
    <x:row r="63">
      <x:c r="A63" t="n">
        <x:v>197</x:v>
      </x:c>
      <x:c r="B63" t="str">
        <x:v>Emma van Bever</x:v>
      </x:c>
      <x:c r="C63" t="str">
        <x:v>2024-293</x:v>
      </x:c>
      <x:c r="D63" s="6" t="n">
        <x:v>949</x:v>
      </x:c>
      <x:c r="E63" t="str">
        <x:v>J=189.8; Q=759.2; S=20.11.2024; T=danke Mail raus</x:v>
      </x:c>
    </x:row>
    <x:row r="64">
      <x:c r="A64" t="n">
        <x:v>198</x:v>
      </x:c>
      <x:c r="B64" t="str">
        <x:v>Sandra Oberle</x:v>
      </x:c>
      <x:c r="C64" t="str">
        <x:v>2024-294</x:v>
      </x:c>
      <x:c r="D64" s="6" t="n">
        <x:v>205.86</x:v>
      </x:c>
      <x:c r="E64" t="str">
        <x:v>Q=205.86; S=26.02.2025; T=danke Mail raus</x:v>
      </x:c>
    </x:row>
    <x:row r="65">
      <x:c r="A65" t="n">
        <x:v>200</x:v>
      </x:c>
      <x:c r="B65" t="str">
        <x:v>Chiara Alisha Klein</x:v>
      </x:c>
      <x:c r="C65" t="str">
        <x:v>2024-296</x:v>
      </x:c>
      <x:c r="D65" s="6" t="n">
        <x:v>527</x:v>
      </x:c>
      <x:c r="E65" t="str">
        <x:v>J=105.4; L=26.09.2024; Q=421.6; S=13.05.2025; T=Danke Mail raus</x:v>
      </x:c>
    </x:row>
    <x:row r="66">
      <x:c r="A66" t="n">
        <x:v>204</x:v>
      </x:c>
      <x:c r="B66" t="str">
        <x:v>Ela Centimese</x:v>
      </x:c>
      <x:c r="C66" t="str">
        <x:v>2024-300</x:v>
      </x:c>
      <x:c r="D66" s="6" t="n">
        <x:v>2569</x:v>
      </x:c>
      <x:c r="E66" t="str">
        <x:v>J=513.8; L=01.10.2024; Q=2055.2; S=02.12.2024; T=DankeMail raus</x:v>
      </x:c>
    </x:row>
    <x:row r="67">
      <x:c r="A67" t="n">
        <x:v>205</x:v>
      </x:c>
      <x:c r="B67" t="str">
        <x:v>Julian Botschafter</x:v>
      </x:c>
      <x:c r="C67" t="str">
        <x:v>2024-301</x:v>
      </x:c>
      <x:c r="D67" s="6" t="n">
        <x:v>1850</x:v>
      </x:c>
      <x:c r="E67" t="str">
        <x:v>J=370; L=01.10.2024; Q=1480; S=20.01.2025; T=danke Mail raus</x:v>
      </x:c>
    </x:row>
    <x:row r="68">
      <x:c r="A68" t="n">
        <x:v>206</x:v>
      </x:c>
      <x:c r="B68" t="str">
        <x:v>Annika Weiß</x:v>
      </x:c>
      <x:c r="C68" t="str">
        <x:v>2024-302</x:v>
      </x:c>
      <x:c r="D68" s="6" t="n">
        <x:v>3290</x:v>
      </x:c>
      <x:c r="E68" t="str">
        <x:v>J=658; L=24.09.2024; Q=2632; S=26.06.2025; T=danke Mail raus</x:v>
      </x:c>
    </x:row>
    <x:row r="69">
      <x:c r="A69" t="n">
        <x:v>210</x:v>
      </x:c>
      <x:c r="B69" t="str">
        <x:v>Sonja Leiner</x:v>
      </x:c>
      <x:c r="C69" t="str">
        <x:v>2024-306</x:v>
      </x:c>
      <x:c r="D69" s="6" t="n">
        <x:v>1220</x:v>
      </x:c>
      <x:c r="E69" t="str">
        <x:v>J=244; L=26.09.2024; Q=976; S=13.03.2025; T=Danke Mail raus</x:v>
      </x:c>
    </x:row>
    <x:row r="70">
      <x:c r="A70" t="n">
        <x:v>211</x:v>
      </x:c>
      <x:c r="B70" t="str">
        <x:v>Mila Janokowiak</x:v>
      </x:c>
      <x:c r="C70" t="str">
        <x:v>2024-307</x:v>
      </x:c>
      <x:c r="D70" s="6" t="n">
        <x:v>11100</x:v>
      </x:c>
      <x:c r="E70" t="str">
        <x:v>J=2220; L=04.10.2024; N=2220; P=01.07.2025; Q=6660; S=5000; T=1700; U=-40; V=01.+03.07.2025</x:v>
      </x:c>
    </x:row>
    <x:row r="71">
      <x:c r="A71" t="n">
        <x:v>215</x:v>
      </x:c>
      <x:c r="B71" t="str">
        <x:v>Amelie Grawe</x:v>
      </x:c>
      <x:c r="C71" t="str">
        <x:v>2024-311</x:v>
      </x:c>
      <x:c r="D71" s="6" t="n">
        <x:v>1260</x:v>
      </x:c>
      <x:c r="E71" t="str">
        <x:v>J=252; L=15.10.2024; Q=1008; S=29.05+30.05.2025; T=Danke Mail raus</x:v>
      </x:c>
    </x:row>
    <x:row r="72">
      <x:c r="A72" t="n">
        <x:v>225</x:v>
      </x:c>
      <x:c r="B72" t="str">
        <x:v>Marie Müller</x:v>
      </x:c>
      <x:c r="C72" t="str">
        <x:v>2024-321</x:v>
      </x:c>
      <x:c r="D72" s="6" t="n">
        <x:v>190</x:v>
      </x:c>
      <x:c r="E72" t="str">
        <x:v>Q=190</x:v>
      </x:c>
    </x:row>
    <x:row r="73">
      <x:c r="A73" t="n">
        <x:v>227</x:v>
      </x:c>
      <x:c r="B73" t="str">
        <x:v>Emily Becker</x:v>
      </x:c>
      <x:c r="C73" t="str">
        <x:v>2024-323</x:v>
      </x:c>
      <x:c r="D73" s="6" t="n">
        <x:v>10550</x:v>
      </x:c>
      <x:c r="E73" t="str">
        <x:v>J=2110; L=30.10.2024; N=2110; P=Danke Mail raus; Q=6330; S=28.05.2025; T=Danke Mail raus</x:v>
      </x:c>
    </x:row>
    <x:row r="74">
      <x:c r="A74" t="n">
        <x:v>228</x:v>
      </x:c>
      <x:c r="B74" t="str">
        <x:v>Sarah Richter</x:v>
      </x:c>
      <x:c r="C74" t="str">
        <x:v>2024-324</x:v>
      </x:c>
      <x:c r="D74" s="6" t="n">
        <x:v>190</x:v>
      </x:c>
      <x:c r="E74" t="str">
        <x:v>Q=190</x:v>
      </x:c>
    </x:row>
    <x:row r="75">
      <x:c r="A75" t="n">
        <x:v>229</x:v>
      </x:c>
      <x:c r="B75" t="str">
        <x:v>Loane Page</x:v>
      </x:c>
      <x:c r="C75" t="str">
        <x:v>2024-325</x:v>
      </x:c>
      <x:c r="D75" s="6" t="n">
        <x:v>1990</x:v>
      </x:c>
      <x:c r="E75" t="str">
        <x:v>J=398; Q=1592; S=ZE raus 15.02.2025</x:v>
      </x:c>
    </x:row>
    <x:row r="76">
      <x:c r="A76" t="n">
        <x:v>235</x:v>
      </x:c>
      <x:c r="B76" t="str">
        <x:v>Carla Frey</x:v>
      </x:c>
      <x:c r="C76" t="str">
        <x:v>2024-331</x:v>
      </x:c>
      <x:c r="D76" s="6" t="n">
        <x:v>380</x:v>
      </x:c>
      <x:c r="E76" t="str">
        <x:v>Q=380</x:v>
      </x:c>
    </x:row>
    <x:row r="77">
      <x:c r="A77" t="n">
        <x:v>236</x:v>
      </x:c>
      <x:c r="B77" t="str">
        <x:v>Chiara Alisha Klein</x:v>
      </x:c>
      <x:c r="C77" t="str">
        <x:v>2024-332</x:v>
      </x:c>
      <x:c r="D77" s="6" t="n">
        <x:v>490</x:v>
      </x:c>
      <x:c r="E77" t="str">
        <x:v>Q=490; S=13.05.2025; T=Danke Mail raus</x:v>
      </x:c>
    </x:row>
    <x:row r="78">
      <x:c r="A78" t="n">
        <x:v>238</x:v>
      </x:c>
      <x:c r="B78" t="str">
        <x:v>Lars Philipp Matzke</x:v>
      </x:c>
      <x:c r="C78" t="str">
        <x:v>2024-334</x:v>
      </x:c>
      <x:c r="D78" s="6" t="n">
        <x:v>8260</x:v>
      </x:c>
      <x:c r="E78" t="str">
        <x:v>J=1652; L=13.11.2024; Q=6608; S=13.06.2025; T=danke Mail  raus</x:v>
      </x:c>
    </x:row>
    <x:row r="79">
      <x:c r="A79" t="n">
        <x:v>239</x:v>
      </x:c>
      <x:c r="B79" t="str">
        <x:v>Noemi Talina Holenstein</x:v>
      </x:c>
      <x:c r="C79" t="str">
        <x:v>2024-335</x:v>
      </x:c>
      <x:c r="D79" s="6" t="n">
        <x:v>10845</x:v>
      </x:c>
      <x:c r="E79" t="str">
        <x:v>J=2169; L=18.11.2024; N=2169; P=31.03.2025; Q=6507; S=19.06.2025; T=danke Mail raus</x:v>
      </x:c>
    </x:row>
    <x:row r="80">
      <x:c r="A80" t="n">
        <x:v>240</x:v>
      </x:c>
      <x:c r="B80" t="str">
        <x:v>Ivana Forde</x:v>
      </x:c>
      <x:c r="C80" t="str">
        <x:v>2024-336</x:v>
      </x:c>
      <x:c r="D80" s="6" t="n">
        <x:v>1120</x:v>
      </x:c>
      <x:c r="E80" t="str">
        <x:v>Q=1120</x:v>
      </x:c>
    </x:row>
    <x:row r="81">
      <x:c r="A81" t="n">
        <x:v>244</x:v>
      </x:c>
      <x:c r="B81" t="str">
        <x:v>Anna Herzog</x:v>
      </x:c>
      <x:c r="C81" t="str">
        <x:v>2024-340</x:v>
      </x:c>
      <x:c r="D81" s="6" t="n">
        <x:v>890</x:v>
      </x:c>
      <x:c r="E81" t="str">
        <x:v>Q=890; S=18.11.2024; T=danke Mail raus</x:v>
      </x:c>
    </x:row>
    <x:row r="82">
      <x:c r="A82" t="n">
        <x:v>248</x:v>
      </x:c>
      <x:c r="B82" t="str">
        <x:v>Katharina Jung</x:v>
      </x:c>
      <x:c r="C82" t="str">
        <x:v>2024-344</x:v>
      </x:c>
      <x:c r="D82" s="6" t="n">
        <x:v>6349</x:v>
      </x:c>
      <x:c r="E82" t="str">
        <x:v>J=1269.8; L=09.12.2024; Q=5079.2; S=12.09.2025; T=Danke Mail raus</x:v>
      </x:c>
    </x:row>
    <x:row r="83">
      <x:c r="A83" t="n">
        <x:v>251</x:v>
      </x:c>
      <x:c r="B83" t="str">
        <x:v>Aleksei Tkachenko</x:v>
      </x:c>
      <x:c r="C83" t="str">
        <x:v>2024-347</x:v>
      </x:c>
      <x:c r="D83" s="6" t="n">
        <x:v>680</x:v>
      </x:c>
      <x:c r="E83" t="str">
        <x:v>J=136; L=17.12.2024; Q=544; S=23.05.2025; T=Danke Mail raus</x:v>
      </x:c>
    </x:row>
    <x:row r="84">
      <x:c r="A84" t="n">
        <x:v>252</x:v>
      </x:c>
      <x:c r="B84" t="str">
        <x:v>Julian Schupp</x:v>
      </x:c>
      <x:c r="C84" t="str">
        <x:v>2024-348</x:v>
      </x:c>
      <x:c r="D84" s="6" t="n">
        <x:v>3470</x:v>
      </x:c>
      <x:c r="E84" t="str">
        <x:v>J=694; Q=2776</x:v>
      </x:c>
    </x:row>
    <x:row r="85">
      <x:c r="A85" t="n">
        <x:v>254</x:v>
      </x:c>
      <x:c r="B85" t="str">
        <x:v>Marie Müller</x:v>
      </x:c>
      <x:c r="C85" t="str">
        <x:v>2024-350</x:v>
      </x:c>
      <x:c r="D85" s="6" t="n">
        <x:v>247.13</x:v>
      </x:c>
      <x:c r="E85" t="str">
        <x:v>Q=247.13; S=16.12.2024; T=Danke Mail raus</x:v>
      </x:c>
    </x:row>
    <x:row r="86">
      <x:c r="A86" t="n">
        <x:v>256</x:v>
      </x:c>
      <x:c r="B86" t="str">
        <x:v>Aleksei Tkachenko</x:v>
      </x:c>
      <x:c r="C86" t="str">
        <x:v>2024-352</x:v>
      </x:c>
      <x:c r="D86" s="6" t="n">
        <x:v>90</x:v>
      </x:c>
      <x:c r="E86" t="str">
        <x:v>Q=90; S=ZE raus 15.02.2025</x:v>
      </x:c>
    </x:row>
    <x:row r="87">
      <x:c r="A87" t="n">
        <x:v>257</x:v>
      </x:c>
      <x:c r="B87" t="str">
        <x:v>Constantin Mertens</x:v>
      </x:c>
      <x:c r="C87" t="str">
        <x:v>2024-353</x:v>
      </x:c>
      <x:c r="D87" s="6" t="n">
        <x:v>544</x:v>
      </x:c>
      <x:c r="E87" t="str">
        <x:v>J=108.8; L=20.12.2024; Q=435.2; S=07.03.2025; T=Danke Mail raus</x:v>
      </x:c>
    </x:row>
    <x:row r="88">
      <x:c r="A88" t="n">
        <x:v>258</x:v>
      </x:c>
      <x:c r="B88" t="str">
        <x:v>Luis Schley</x:v>
      </x:c>
      <x:c r="C88" t="str">
        <x:v>2024-354</x:v>
      </x:c>
      <x:c r="D88" s="6" t="n">
        <x:v>1291</x:v>
      </x:c>
      <x:c r="E88" t="str">
        <x:v>Q=1291; S=03.01.2025; T=danke Mail raus</x:v>
      </x:c>
    </x:row>
    <x:row r="89">
      <x:c r="A89" t="n">
        <x:v>260</x:v>
      </x:c>
      <x:c r="B89" t="str">
        <x:v>Erik Bauer</x:v>
      </x:c>
      <x:c r="C89" t="str">
        <x:v>2024-356</x:v>
      </x:c>
      <x:c r="D89" s="6" t="n">
        <x:v>3240</x:v>
      </x:c>
      <x:c r="E89" t="str">
        <x:v>J=648; L=24.12.2024; Q=2592; S=31.01.2025</x:v>
      </x:c>
    </x:row>
    <x:row r="90">
      <x:c r="A90" t="n">
        <x:v>261</x:v>
      </x:c>
      <x:c r="B90" t="str">
        <x:v>Mina Hathiramani</x:v>
      </x:c>
      <x:c r="C90" t="str">
        <x:v>2024-357</x:v>
      </x:c>
      <x:c r="D90" s="6" t="n">
        <x:v>9900</x:v>
      </x:c>
      <x:c r="E90" t="str">
        <x:v>J=1980; N=1980; Q=5940; S=12.11.2025; T=danke Mail raus</x:v>
      </x:c>
    </x:row>
    <x:row r="91">
      <x:c r="A91" t="n">
        <x:v>264</x:v>
      </x:c>
      <x:c r="B91" t="str">
        <x:v>Minou Liebmann</x:v>
      </x:c>
      <x:c r="C91" t="str">
        <x:v>2024-360</x:v>
      </x:c>
      <x:c r="D91" s="6" t="n">
        <x:v>8100</x:v>
      </x:c>
      <x:c r="E91" t="str">
        <x:v>J=1620; L=13.01.2025; N=1620; P=13.03.2025; Q=4860; S=30.06.2025; T=Danke Mail raus</x:v>
      </x:c>
    </x:row>
    <x:row r="92">
      <x:c r="A92" t="n">
        <x:v>265</x:v>
      </x:c>
      <x:c r="B92" t="str">
        <x:v>Mara Noll</x:v>
      </x:c>
      <x:c r="C92" t="str">
        <x:v>2024-361</x:v>
      </x:c>
      <x:c r="D92" s="6" t="n">
        <x:v>3850</x:v>
      </x:c>
      <x:c r="E92" t="str">
        <x:v>J=770; L=02.01.2025; Q=3080; S=24.06.2025; T=Danke Mail raus</x:v>
      </x:c>
    </x:row>
    <x:row r="93">
      <x:c r="A93" t="n">
        <x:v>266</x:v>
      </x:c>
      <x:c r="B93" t="str">
        <x:v>Maya Buhl</x:v>
      </x:c>
      <x:c r="C93" t="str">
        <x:v>2024-362</x:v>
      </x:c>
      <x:c r="D93" s="6" t="n">
        <x:v>427</x:v>
      </x:c>
      <x:c r="E93" t="str">
        <x:v>J=85.4; Q=341.6; S=06.01.2025</x:v>
      </x:c>
    </x:row>
    <x:row r="94">
      <x:c r="A94" t="n">
        <x:v>267</x:v>
      </x:c>
      <x:c r="B94" t="str">
        <x:v>Léo-Paul Cord’homme</x:v>
      </x:c>
      <x:c r="C94" t="str">
        <x:v>2024-363</x:v>
      </x:c>
      <x:c r="D94" s="6" t="n">
        <x:v>815</x:v>
      </x:c>
      <x:c r="E94" t="str">
        <x:v>J=165; L=ZE raus 15.02.2025; Q=652</x:v>
      </x:c>
    </x:row>
    <x:row r="95">
      <x:c r="A95" t="n">
        <x:v>268</x:v>
      </x:c>
      <x:c r="B95" t="str">
        <x:v>Alice Renoux</x:v>
      </x:c>
      <x:c r="C95" t="str">
        <x:v>2024-364</x:v>
      </x:c>
      <x:c r="D95" s="6" t="n">
        <x:v>815</x:v>
      </x:c>
      <x:c r="E95" t="str">
        <x:v>J=165; L=ZE raus 15.02.2025; Q=652; S=17.02.2025; T=danke Mail raus</x:v>
      </x:c>
    </x:row>
    <x:row r="96">
      <x:c r="A96" t="n">
        <x:v>269</x:v>
      </x:c>
      <x:c r="B96" t="str">
        <x:v>Noah Hess</x:v>
      </x:c>
      <x:c r="C96" t="str">
        <x:v>2024-365</x:v>
      </x:c>
      <x:c r="D96" s="6" t="n">
        <x:v>1018</x:v>
      </x:c>
      <x:c r="E96" t="str">
        <x:v>Q=1018; S=17.01.2025; T=danke Mail raus</x:v>
      </x:c>
    </x:row>
    <x:row r="97">
      <x:c r="A97" t="n">
        <x:v>270</x:v>
      </x:c>
      <x:c r="B97" t="str">
        <x:v>Mandy Alex</x:v>
      </x:c>
      <x:c r="C97" t="str">
        <x:v>2024-366</x:v>
      </x:c>
      <x:c r="D97" s="6" t="n">
        <x:v>649</x:v>
      </x:c>
      <x:c r="E97" t="str">
        <x:v>J=129.8; L=06.01.2025; Q=519.2; S=06.01.2025; T=DankeMail raus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68" hidden="0" customWidth="1"/>
    <x:col min="4" max="4" width="68" hidden="0" customWidth="1"/>
    <x:col min="5" max="5" width="17" hidden="0" customWidth="1"/>
    <x:col min="6" max="6" width="18" hidden="0" customWidth="1"/>
    <x:col min="7" max="7" width="18" hidden="0" customWidth="1"/>
    <x:col min="8" max="8" width="50" hidden="0" customWidth="1"/>
  </x:cols>
  <x:sheetData>
    <x:row r="1">
      <x:c r="A1" s="2" t="str">
        <x:v>Quelle: Jamso Trainee, Excel Zahlungsverlauf.xlsx, Blatt „Stornorechnungen“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 t="str">
        <x:v>Mandantenvermerke; Wirksamkeit und DATEV-Buchung der Stornos einzeln prüfen.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0" customHeight="1">
      <x:c r="A4" s="4" t="str">
        <x:v>Quellzeile</x:v>
      </x:c>
      <x:c r="B4" s="4" t="str">
        <x:v>Name</x:v>
      </x:c>
      <x:c r="C4" s="4" t="str">
        <x:v>Bezeichnung</x:v>
      </x:c>
      <x:c r="D4" s="4" t="str">
        <x:v>Bezug / Grund</x:v>
      </x:c>
      <x:c r="E4" s="4" t="str">
        <x:v>Stornonummer</x:v>
      </x:c>
      <x:c r="F4" s="4" t="str">
        <x:v>Datum original</x:v>
      </x:c>
      <x:c r="G4" s="4" t="str">
        <x:v>Betrag</x:v>
      </x:c>
      <x:c r="H4" s="4" t="str">
        <x:v>Vermerk</x:v>
      </x:c>
      <x:c r="I4" s="2"/>
      <x:c r="J4" s="2"/>
      <x:c r="K4" s="2"/>
      <x:c r="L4" s="2"/>
      <x:c r="M4" s="2"/>
      <x:c r="N4" s="2"/>
    </x:row>
    <x:row r="5">
      <x:c r="A5" s="2" t="n">
        <x:v>2</x:v>
      </x:c>
      <x:c r="B5" s="2" t="str">
        <x:v>Huiberts Luni</x:v>
      </x:c>
      <x:c r="C5" s="2" t="str">
        <x:v>Cancellation invoice</x:v>
      </x:c>
      <x:c r="D5" s="2" t="str"/>
      <x:c r="E5" s="2" t="str">
        <x:v>18246</x:v>
      </x:c>
      <x:c r="F5" s="2" t="str">
        <x:v>2024-08-15</x:v>
      </x:c>
      <x:c r="G5" s="5" t="n">
        <x:v>107.5</x:v>
      </x:c>
      <x:c r="H5" s="2" t="str"/>
      <x:c r="I5" s="2"/>
      <x:c r="J5" s="2"/>
      <x:c r="K5" s="2"/>
      <x:c r="L5" s="2"/>
      <x:c r="M5" s="2"/>
      <x:c r="N5" s="2"/>
    </x:row>
    <x:row r="6">
      <x:c r="A6" s="2" t="n">
        <x:v>3</x:v>
      </x:c>
      <x:c r="B6" s="2" t="str">
        <x:v>Jara Maier</x:v>
      </x:c>
      <x:c r="C6" s="2" t="str">
        <x:v>Stornorechnung zu RE 2024-259</x:v>
      </x:c>
      <x:c r="D6" s="2" t="str">
        <x:v>10% Stornogebühren</x:v>
      </x:c>
      <x:c r="E6" s="2" t="str">
        <x:v>18247</x:v>
      </x:c>
      <x:c r="F6" s="2" t="str">
        <x:v>2024-09-24</x:v>
      </x:c>
      <x:c r="G6" s="5"/>
      <x:c r="H6" s="2" t="str"/>
      <x:c r="I6" s="2"/>
      <x:c r="J6" s="2"/>
      <x:c r="K6" s="2"/>
      <x:c r="L6" s="2"/>
      <x:c r="M6" s="2"/>
      <x:c r="N6" s="2"/>
    </x:row>
    <x:row r="7">
      <x:c r="A7" s="2" t="n">
        <x:v>4</x:v>
      </x:c>
      <x:c r="B7" s="2" t="str">
        <x:v>Lena Marie Steimel</x:v>
      </x:c>
      <x:c r="C7" s="2" t="str">
        <x:v>Stornorrechnung zum Beach Cleaning Projekt 90% Stornogebühr Rückzahlung 10% = 126,00€</x:v>
      </x:c>
      <x:c r="D7" s="2" t="str"/>
      <x:c r="E7" s="2" t="str">
        <x:v>18248</x:v>
      </x:c>
      <x:c r="F7" s="2" t="str">
        <x:v>2024-10-07</x:v>
      </x:c>
      <x:c r="G7" s="5" t="n">
        <x:v>1134</x:v>
      </x:c>
      <x:c r="H7" s="2" t="str">
        <x:v>126,00€ am 21.10.2024 Rücküberweisung</x:v>
      </x:c>
      <x:c r="I7" s="2"/>
      <x:c r="J7" s="2"/>
      <x:c r="K7" s="2"/>
      <x:c r="L7" s="2"/>
      <x:c r="M7" s="2"/>
      <x:c r="N7" s="2"/>
    </x:row>
    <x:row r="8">
      <x:c r="A8" s="2" t="n">
        <x:v>5</x:v>
      </x:c>
      <x:c r="B8" s="2" t="str">
        <x:v>Lucy Marie Erdmenger/Terhorst</x:v>
      </x:c>
      <x:c r="C8" s="2" t="str">
        <x:v>2 Wochen , Beach Cleaning Costa Rica ,Startdatum 19.01.2024 10%, Umbuchungsgebühr für das Wildlife </x:v>
      </x:c>
      <x:c r="D8" s="2" t="str"/>
      <x:c r="E8" s="2" t="str">
        <x:v>18249</x:v>
      </x:c>
      <x:c r="F8" s="2" t="str">
        <x:v>2024-10-11</x:v>
      </x:c>
      <x:c r="G8" s="5" t="n">
        <x:v>5.56</x:v>
      </x:c>
      <x:c r="H8" s="2" t="str">
        <x:v>Zahlungeingang </x:v>
      </x:c>
      <x:c r="I8" s="2"/>
      <x:c r="J8" s="2"/>
      <x:c r="K8" s="2"/>
      <x:c r="L8" s="2"/>
      <x:c r="M8" s="2"/>
      <x:c r="N8" s="2"/>
    </x:row>
    <x:row r="9">
      <x:c r="A9" s="2" t="n">
        <x:v>6</x:v>
      </x:c>
      <x:c r="B9" s="2" t="str">
        <x:v>Amma Van Hulle</x:v>
      </x:c>
      <x:c r="C9" s="2" t="str">
        <x:v>Stornorechnung zu Re 2023-363</x:v>
      </x:c>
      <x:c r="D9" s="2" t="str"/>
      <x:c r="E9" s="2" t="str">
        <x:v>18250</x:v>
      </x:c>
      <x:c r="F9" s="2" t="str">
        <x:v>2024-03-02</x:v>
      </x:c>
      <x:c r="G9" s="5"/>
      <x:c r="H9" s="2" t="str"/>
      <x:c r="I9" s="2"/>
      <x:c r="J9" s="2"/>
      <x:c r="K9" s="2"/>
      <x:c r="L9" s="2"/>
      <x:c r="M9" s="2"/>
      <x:c r="N9" s="2"/>
    </x:row>
    <x:row r="10">
      <x:c r="A10" s="2" t="n">
        <x:v>7</x:v>
      </x:c>
      <x:c r="B10" s="2" t="str">
        <x:v>Rislane Bensliman</x:v>
      </x:c>
      <x:c r="C10" s="2" t="str">
        <x:v>Stornorechnung zu RE 2023-315</x:v>
      </x:c>
      <x:c r="D10" s="2" t="str">
        <x:v>Reiseabbruch, wegen Tod der Oma, mit  40% Rückerstattung</x:v>
      </x:c>
      <x:c r="E10" s="2" t="str">
        <x:v>18251</x:v>
      </x:c>
      <x:c r="F10" s="2" t="str">
        <x:v>2024-04-06</x:v>
      </x:c>
      <x:c r="G10" s="5" t="n">
        <x:v>740</x:v>
      </x:c>
      <x:c r="H10" s="2" t="str"/>
      <x:c r="I10" s="2"/>
      <x:c r="J10" s="2"/>
      <x:c r="K10" s="2"/>
      <x:c r="L10" s="2"/>
      <x:c r="M10" s="2"/>
      <x:c r="N10" s="2"/>
    </x:row>
    <x:row r="11">
      <x:c r="A11" s="2" t="n">
        <x:v>8</x:v>
      </x:c>
      <x:c r="B11" s="2" t="str">
        <x:v>Annina Benz</x:v>
      </x:c>
      <x:c r="C11" s="2" t="str">
        <x:v>Stornorechnung zu Re 2024-185</x:v>
      </x:c>
      <x:c r="D11" s="2" t="str">
        <x:v>Kulanz, da 4 Wochen Aufenthalt</x:v>
      </x:c>
      <x:c r="E11" s="2" t="str">
        <x:v>18252</x:v>
      </x:c>
      <x:c r="F11" s="2" t="str">
        <x:v>2004-05-10</x:v>
      </x:c>
      <x:c r="G11" s="5" t="n">
        <x:v>70</x:v>
      </x:c>
      <x:c r="H11" s="2" t="str"/>
      <x:c r="I11" s="2"/>
      <x:c r="J11" s="2"/>
      <x:c r="K11" s="2"/>
      <x:c r="L11" s="2"/>
      <x:c r="M11" s="2"/>
      <x:c r="N11" s="2"/>
    </x:row>
    <x:row r="12">
      <x:c r="A12" s="2" t="n">
        <x:v>9</x:v>
      </x:c>
      <x:c r="B12" s="2" t="str">
        <x:v>Devin Searcy</x:v>
      </x:c>
      <x:c r="C12" s="2" t="str">
        <x:v>Cancellation invoice</x:v>
      </x:c>
      <x:c r="D12" s="2" t="str"/>
      <x:c r="E12" s="2" t="str">
        <x:v>18253</x:v>
      </x:c>
      <x:c r="F12" s="2" t="str">
        <x:v>2024-06-23</x:v>
      </x:c>
      <x:c r="G12" s="5"/>
      <x:c r="H12" s="2" t="str"/>
      <x:c r="I12" s="2"/>
      <x:c r="J12" s="2"/>
      <x:c r="K12" s="2"/>
      <x:c r="L12" s="2"/>
      <x:c r="M12" s="2"/>
      <x:c r="N12" s="2"/>
    </x:row>
    <x:row r="13">
      <x:c r="A13" s="2" t="n">
        <x:v>10</x:v>
      </x:c>
      <x:c r="B13" s="2" t="str">
        <x:v>Vincent Romeo Rosing</x:v>
      </x:c>
      <x:c r="C13" s="2" t="str"/>
      <x:c r="D13" s="2" t="str">
        <x:v>5 Wochen, 2 Tage, 1 Freiwilliger Pre and Primary School Assistant,  Tanznia </x:v>
      </x:c>
      <x:c r="E13" s="2" t="str">
        <x:v>18254</x:v>
      </x:c>
      <x:c r="F13" s="2" t="str">
        <x:v>26.10.224</x:v>
      </x:c>
      <x:c r="G13" s="5" t="n">
        <x:v>924.3</x:v>
      </x:c>
      <x:c r="H13" s="2" t="str">
        <x:v>29.10.24 Zahlungseingang</x:v>
      </x:c>
      <x:c r="I13" s="2"/>
      <x:c r="J13" s="2"/>
      <x:c r="K13" s="2"/>
      <x:c r="L13" s="2"/>
      <x:c r="M13" s="2"/>
      <x:c r="N13" s="2"/>
    </x:row>
    <x:row r="14">
      <x:c r="A14" s="2" t="n">
        <x:v>11</x:v>
      </x:c>
      <x:c r="B14" s="2" t="str">
        <x:v>Lucy Marie Erdmenger/Terhorst</x:v>
      </x:c>
      <x:c r="C14" s="2" t="str">
        <x:v>Storno zu Rechnung-Nr. (2024-235Ä) vom (11.10.2024</x:v>
      </x:c>
      <x:c r="D14" s="2" t="str">
        <x:v>2 Wochen Meeresschildkröten Projekt Ostinal, Costa Rica, </x:v>
      </x:c>
      <x:c r="E14" s="2" t="str">
        <x:v>18255</x:v>
      </x:c>
      <x:c r="F14" s="2" t="str">
        <x:v>2024-12-09</x:v>
      </x:c>
      <x:c r="G14" s="5" t="n">
        <x:v>-476</x:v>
      </x:c>
      <x:c r="H14" s="2" t="str"/>
      <x:c r="I14" s="2"/>
      <x:c r="J14" s="2"/>
      <x:c r="K14" s="2"/>
      <x:c r="L14" s="2"/>
      <x:c r="M14" s="2"/>
      <x:c r="N14" s="2"/>
    </x:row>
    <x:row r="15">
      <x:c r="A15" s="2" t="n">
        <x:v>12</x:v>
      </x:c>
      <x:c r="B15" s="2" t="str">
        <x:v>Vanek Robert</x:v>
      </x:c>
      <x:c r="C15" s="2" t="str">
        <x:v>Storno zu Rechnung-Nr. (2024-198) vom 02.05.2024</x:v>
      </x:c>
      <x:c r="D15" s="2" t="str">
        <x:v>1 Woche Wildlife Projekt Costa Rica</x:v>
      </x:c>
      <x:c r="E15" s="2" t="str">
        <x:v>18256</x:v>
      </x:c>
      <x:c r="F15" s="2" t="str">
        <x:v>2024-12-16</x:v>
      </x:c>
      <x:c r="G15" s="5" t="n">
        <x:v>0</x:v>
      </x:c>
      <x:c r="H15" s="2" t="str"/>
      <x:c r="I15" s="2"/>
      <x:c r="J15" s="2"/>
      <x:c r="K15" s="2"/>
      <x:c r="L15" s="2"/>
      <x:c r="M15" s="2"/>
      <x:c r="N15" s="2"/>
    </x:row>
    <x:row r="16">
      <x:c r="A16" s="2" t="n">
        <x:v>13</x:v>
      </x:c>
      <x:c r="B16" s="2" t="str"/>
      <x:c r="C16" s="2" t="str"/>
      <x:c r="D16" s="2" t="str"/>
      <x:c r="E16" s="2" t="str">
        <x:v>18257</x:v>
      </x:c>
      <x:c r="F16" s="2" t="str"/>
      <x:c r="G16" s="5"/>
      <x:c r="H16" s="2" t="str"/>
      <x:c r="I16" s="2"/>
      <x:c r="J16" s="2"/>
      <x:c r="K16" s="2"/>
      <x:c r="L16" s="2"/>
      <x:c r="M16" s="2"/>
      <x:c r="N16" s="2"/>
    </x:row>
    <x:row r="17">
      <x:c r="A17" s="2" t="n">
        <x:v>14</x:v>
      </x:c>
      <x:c r="B17" s="2" t="str">
        <x:v>Garcia Lopez</x:v>
      </x:c>
      <x:c r="C17" s="2" t="str">
        <x:v>Stornorechnung</x:v>
      </x:c>
      <x:c r="D17" s="2" t="str">
        <x:v>Cancellation invoice no. 18258 zu RE 2024-150</x:v>
      </x:c>
      <x:c r="E17" s="2" t="str">
        <x:v>18258</x:v>
      </x:c>
      <x:c r="F17" s="2" t="str">
        <x:v>23.02.204</x:v>
      </x:c>
      <x:c r="G17" s="5" t="n">
        <x:v>-944</x:v>
      </x:c>
      <x:c r="H17" s="2" t="str"/>
      <x:c r="I17" s="2"/>
      <x:c r="J17" s="2"/>
      <x:c r="K17" s="2"/>
      <x:c r="L17" s="2"/>
      <x:c r="M17" s="2"/>
      <x:c r="N17" s="2"/>
    </x:row>
    <x:row r="18">
      <x:c r="A18" s="2" t="n">
        <x:v>15</x:v>
      </x:c>
      <x:c r="B18" s="2" t="str">
        <x:v>Bentele </x:v>
      </x:c>
      <x:c r="C18" s="2" t="str">
        <x:v>Stornorechnung zu Rechnung nr. 139</x:v>
      </x:c>
      <x:c r="D18" s="2" t="str">
        <x:v>90% der gesamt Kosten Differenz (Verlust 99,00€)</x:v>
      </x:c>
      <x:c r="E18" s="2" t="str">
        <x:v>18259</x:v>
      </x:c>
      <x:c r="F18" s="2" t="str">
        <x:v>2024-03-20</x:v>
      </x:c>
      <x:c r="G18" s="5" t="n">
        <x:v>891</x:v>
      </x:c>
      <x:c r="H18" s="2" t="str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</x:sheetData>
  <x:pageMargins left="0.7" right="0.7" top="0.75" bottom="0.75" header="0.3" footer="0.3"/>
</x:worksheet>
</file>