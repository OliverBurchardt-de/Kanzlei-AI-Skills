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INE DATEN\Dokumente\Jamso Bdenutzerprofil auf D\Dokumente\Burchardt &amp; Kollegen\2024\"/>
    </mc:Choice>
  </mc:AlternateContent>
  <xr:revisionPtr revIDLastSave="0" documentId="13_ncr:1_{7C268D58-A284-4312-98A0-A42D755D6BA3}" xr6:coauthVersionLast="47" xr6:coauthVersionMax="47" xr10:uidLastSave="{00000000-0000-0000-0000-000000000000}"/>
  <bookViews>
    <workbookView xWindow="-108" yWindow="-108" windowWidth="23256" windowHeight="12456" xr2:uid="{CD535A98-58A0-43C8-96D8-19CF2EF0C5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0" i="1" l="1"/>
  <c r="G161" i="1"/>
  <c r="G205" i="1"/>
  <c r="G218" i="1"/>
  <c r="G219" i="1" l="1"/>
  <c r="G220" i="1"/>
  <c r="G221" i="1"/>
  <c r="G222" i="1"/>
  <c r="G223" i="1"/>
  <c r="G224" i="1"/>
  <c r="G211" i="1"/>
  <c r="G212" i="1"/>
  <c r="G213" i="1"/>
  <c r="G214" i="1"/>
  <c r="G215" i="1"/>
  <c r="G216" i="1"/>
  <c r="G173" i="1"/>
  <c r="G174" i="1"/>
  <c r="G209" i="1"/>
  <c r="G208" i="1"/>
  <c r="G202" i="1"/>
  <c r="G203" i="1"/>
  <c r="G201" i="1"/>
  <c r="G198" i="1"/>
  <c r="G199" i="1"/>
  <c r="G191" i="1"/>
  <c r="G192" i="1"/>
  <c r="G193" i="1"/>
  <c r="G194" i="1"/>
  <c r="G195" i="1"/>
  <c r="G196" i="1"/>
  <c r="G197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63" i="1"/>
  <c r="G164" i="1"/>
  <c r="G165" i="1"/>
  <c r="G166" i="1"/>
  <c r="G167" i="1"/>
  <c r="G168" i="1"/>
  <c r="G169" i="1"/>
  <c r="G170" i="1"/>
  <c r="G171" i="1"/>
  <c r="G172" i="1"/>
  <c r="G175" i="1"/>
  <c r="G176" i="1"/>
  <c r="G177" i="1"/>
  <c r="G178" i="1"/>
  <c r="G162" i="1"/>
  <c r="G159" i="1"/>
  <c r="G149" i="1"/>
  <c r="G150" i="1"/>
  <c r="G151" i="1"/>
  <c r="G152" i="1"/>
  <c r="G153" i="1"/>
  <c r="G154" i="1"/>
  <c r="G155" i="1"/>
  <c r="G156" i="1"/>
  <c r="G141" i="1"/>
  <c r="G131" i="1"/>
  <c r="G132" i="1"/>
  <c r="G133" i="1"/>
  <c r="G134" i="1"/>
  <c r="G135" i="1"/>
  <c r="G136" i="1"/>
  <c r="G137" i="1"/>
  <c r="G138" i="1"/>
  <c r="G139" i="1"/>
  <c r="G142" i="1"/>
  <c r="G143" i="1"/>
  <c r="G144" i="1"/>
  <c r="G145" i="1"/>
  <c r="G146" i="1"/>
  <c r="G147" i="1"/>
  <c r="G148" i="1"/>
  <c r="G128" i="1"/>
  <c r="G126" i="1"/>
  <c r="G119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20" i="1"/>
  <c r="G121" i="1"/>
  <c r="G122" i="1"/>
  <c r="G123" i="1"/>
  <c r="G124" i="1"/>
  <c r="G129" i="1"/>
  <c r="G102" i="1"/>
  <c r="G100" i="1"/>
  <c r="G51" i="1"/>
  <c r="G55" i="1"/>
  <c r="G56" i="1"/>
  <c r="G41" i="1"/>
  <c r="G42" i="1"/>
  <c r="G43" i="1"/>
  <c r="G44" i="1"/>
  <c r="G45" i="1"/>
  <c r="G46" i="1"/>
  <c r="G47" i="1"/>
  <c r="G48" i="1"/>
  <c r="G49" i="1"/>
  <c r="G52" i="1"/>
  <c r="G53" i="1"/>
  <c r="G54" i="1"/>
  <c r="G32" i="1"/>
  <c r="G23" i="1"/>
  <c r="G24" i="1"/>
  <c r="G25" i="1" s="1"/>
  <c r="G26" i="1"/>
  <c r="G27" i="1"/>
  <c r="G28" i="1"/>
  <c r="G29" i="1"/>
  <c r="G33" i="1"/>
  <c r="G34" i="1"/>
  <c r="G35" i="1"/>
  <c r="G36" i="1"/>
  <c r="G37" i="1"/>
  <c r="G38" i="1"/>
  <c r="G39" i="1"/>
  <c r="G40" i="1"/>
  <c r="G20" i="1"/>
  <c r="G12" i="1"/>
  <c r="G17" i="1"/>
  <c r="G15" i="1"/>
  <c r="H9" i="1"/>
  <c r="G6" i="1"/>
  <c r="G7" i="1"/>
  <c r="G8" i="1"/>
  <c r="G9" i="1"/>
  <c r="G10" i="1"/>
  <c r="G11" i="1"/>
  <c r="G16" i="1"/>
  <c r="G18" i="1"/>
  <c r="G19" i="1"/>
  <c r="G21" i="1"/>
  <c r="G22" i="1"/>
  <c r="G2" i="1"/>
  <c r="G3" i="1"/>
  <c r="G200" i="1" l="1"/>
</calcChain>
</file>

<file path=xl/sharedStrings.xml><?xml version="1.0" encoding="utf-8"?>
<sst xmlns="http://schemas.openxmlformats.org/spreadsheetml/2006/main" count="245" uniqueCount="227">
  <si>
    <t xml:space="preserve">DebitorNr. </t>
  </si>
  <si>
    <t>Name</t>
  </si>
  <si>
    <t>RE-Nr.</t>
  </si>
  <si>
    <t>Betrag</t>
  </si>
  <si>
    <t>gezahlt</t>
  </si>
  <si>
    <t>Katharina Ortner</t>
  </si>
  <si>
    <t>2024-104</t>
  </si>
  <si>
    <t>2024-160</t>
  </si>
  <si>
    <t>Differenz</t>
  </si>
  <si>
    <t>Lucy Maria Erdmenger</t>
  </si>
  <si>
    <t>2024-106</t>
  </si>
  <si>
    <t>2024-235</t>
  </si>
  <si>
    <t>2024-237</t>
  </si>
  <si>
    <t>2024-235a</t>
  </si>
  <si>
    <t>Stornorechnung 2024 zu einer Rechnung aus 2023-241</t>
  </si>
  <si>
    <t>von uns zurück gez.</t>
  </si>
  <si>
    <t>Stornorechnung 2024 zu einer Rechnung aus 2023-393</t>
  </si>
  <si>
    <t>Sahra Richter</t>
  </si>
  <si>
    <t>2024-107</t>
  </si>
  <si>
    <t>2024-236</t>
  </si>
  <si>
    <t>2024-324</t>
  </si>
  <si>
    <t>Taschengeldstipendium</t>
  </si>
  <si>
    <t>mit Taschengeldstipendium verrechnet Rest 20,00€</t>
  </si>
  <si>
    <t>Leoa Sophie Werner</t>
  </si>
  <si>
    <t>2023-113</t>
  </si>
  <si>
    <t>2024-113</t>
  </si>
  <si>
    <t>Sophie Kegel</t>
  </si>
  <si>
    <t>2024-119</t>
  </si>
  <si>
    <t>2024-220</t>
  </si>
  <si>
    <t>Amaury Baladier</t>
  </si>
  <si>
    <t>2024-123</t>
  </si>
  <si>
    <t>Bankbuchung falsch storniert mit - Buchung</t>
  </si>
  <si>
    <t>Miguel Tjin</t>
  </si>
  <si>
    <t>2024-124</t>
  </si>
  <si>
    <t>Clara Sheridan</t>
  </si>
  <si>
    <t>2024-127</t>
  </si>
  <si>
    <t>Alyssa Elara Bielefeld</t>
  </si>
  <si>
    <t>2024-134</t>
  </si>
  <si>
    <t>Mathilde Garcia Lopez</t>
  </si>
  <si>
    <t>2024-150</t>
  </si>
  <si>
    <t>Annina Benz</t>
  </si>
  <si>
    <t>2024-153</t>
  </si>
  <si>
    <t>2024-185</t>
  </si>
  <si>
    <t>Dean Krause</t>
  </si>
  <si>
    <t>2024-154</t>
  </si>
  <si>
    <t>2024-254</t>
  </si>
  <si>
    <t>Leon Schyma-Hassis</t>
  </si>
  <si>
    <t>2024-162</t>
  </si>
  <si>
    <t>Debitor falsch storniert</t>
  </si>
  <si>
    <t>Devin Searcy</t>
  </si>
  <si>
    <t>Annalena Baumgärnter</t>
  </si>
  <si>
    <t>2024-165</t>
  </si>
  <si>
    <t>2024-171</t>
  </si>
  <si>
    <t>2024-285</t>
  </si>
  <si>
    <t>Anna Herzog</t>
  </si>
  <si>
    <t>2024-174</t>
  </si>
  <si>
    <t>11.04.024</t>
  </si>
  <si>
    <t>2024-209</t>
  </si>
  <si>
    <t>2024-289</t>
  </si>
  <si>
    <t>2024-340</t>
  </si>
  <si>
    <t>Zahlungseingänge 2023</t>
  </si>
  <si>
    <t>2023-147</t>
  </si>
  <si>
    <t>2023-418</t>
  </si>
  <si>
    <t>2023-421</t>
  </si>
  <si>
    <t>2023-416</t>
  </si>
  <si>
    <t>2023-401</t>
  </si>
  <si>
    <t>2023-419</t>
  </si>
  <si>
    <t>2023-391</t>
  </si>
  <si>
    <t>2023-408</t>
  </si>
  <si>
    <t>2023-402</t>
  </si>
  <si>
    <t>2023-414</t>
  </si>
  <si>
    <t>2023-415</t>
  </si>
  <si>
    <t>2023-409</t>
  </si>
  <si>
    <t>2023-379</t>
  </si>
  <si>
    <t>2023-420</t>
  </si>
  <si>
    <t>2023-342</t>
  </si>
  <si>
    <t>2023-307</t>
  </si>
  <si>
    <t>Baladier Amoury</t>
  </si>
  <si>
    <t>evtl. Zahlung aus 2023</t>
  </si>
  <si>
    <t>2023-314</t>
  </si>
  <si>
    <t>2023-404</t>
  </si>
  <si>
    <t>2023-369</t>
  </si>
  <si>
    <t>2023-403</t>
  </si>
  <si>
    <t>2023-399</t>
  </si>
  <si>
    <t>2023-406</t>
  </si>
  <si>
    <t>2024-103</t>
  </si>
  <si>
    <t>RE aus 2024 Kathrin David</t>
  </si>
  <si>
    <t>2023-319</t>
  </si>
  <si>
    <t>2023-315</t>
  </si>
  <si>
    <t>2023-405</t>
  </si>
  <si>
    <t>2023-410</t>
  </si>
  <si>
    <t>Scheurich Ida</t>
  </si>
  <si>
    <t>2023-389</t>
  </si>
  <si>
    <t>2023-390</t>
  </si>
  <si>
    <t>2023-393</t>
  </si>
  <si>
    <t>2023-383</t>
  </si>
  <si>
    <t>Stornore. Mit Gutsch</t>
  </si>
  <si>
    <t>Steimel</t>
  </si>
  <si>
    <t>Jara Maier</t>
  </si>
  <si>
    <t>2024-175</t>
  </si>
  <si>
    <t>2024-259</t>
  </si>
  <si>
    <t>2024-176</t>
  </si>
  <si>
    <t>Carla Frey</t>
  </si>
  <si>
    <t>2024-276</t>
  </si>
  <si>
    <t>2024-331</t>
  </si>
  <si>
    <t>Vivien Ullrich</t>
  </si>
  <si>
    <t>2024-184</t>
  </si>
  <si>
    <t>Alane Pessemesse</t>
  </si>
  <si>
    <t>2024-186</t>
  </si>
  <si>
    <t>Alis Sherrington</t>
  </si>
  <si>
    <t>2024-188</t>
  </si>
  <si>
    <t>Carmen Kemmer</t>
  </si>
  <si>
    <t>2024-193</t>
  </si>
  <si>
    <t>Eva Friedrich</t>
  </si>
  <si>
    <t>2024-196</t>
  </si>
  <si>
    <t>2024-252</t>
  </si>
  <si>
    <t>Jamie Cole</t>
  </si>
  <si>
    <t>2024-202</t>
  </si>
  <si>
    <t>Lea Wette</t>
  </si>
  <si>
    <t>2024-223</t>
  </si>
  <si>
    <t>2024-203</t>
  </si>
  <si>
    <t>Marie Müller</t>
  </si>
  <si>
    <t>2024-212</t>
  </si>
  <si>
    <t>2024-321</t>
  </si>
  <si>
    <t>2024-350</t>
  </si>
  <si>
    <t>Drissa Dolumbia</t>
  </si>
  <si>
    <t>2024-214</t>
  </si>
  <si>
    <t>Haley Lindale</t>
  </si>
  <si>
    <t>2024-218</t>
  </si>
  <si>
    <t>Simon Pirhofer</t>
  </si>
  <si>
    <t>2024-233</t>
  </si>
  <si>
    <t>2024-278</t>
  </si>
  <si>
    <t>Andrea Friedrich</t>
  </si>
  <si>
    <t>Mariella Münchow</t>
  </si>
  <si>
    <t>2024-255</t>
  </si>
  <si>
    <t>2024-280</t>
  </si>
  <si>
    <t>Alexandre Berthault</t>
  </si>
  <si>
    <t>2024-256</t>
  </si>
  <si>
    <t>Akawung Moses</t>
  </si>
  <si>
    <t>Nicole Farrier</t>
  </si>
  <si>
    <t>2024-260</t>
  </si>
  <si>
    <t>2024-261</t>
  </si>
  <si>
    <t>ist zu 90% die Zahlung für 10142 Akawung Moses, gehören zusammen?</t>
  </si>
  <si>
    <t>Aleskei Tkachenko</t>
  </si>
  <si>
    <t>2024-272</t>
  </si>
  <si>
    <t>2024-347</t>
  </si>
  <si>
    <t>2024-352</t>
  </si>
  <si>
    <t>Brittanne Macey</t>
  </si>
  <si>
    <t>2024-282</t>
  </si>
  <si>
    <t>Heloise Parent</t>
  </si>
  <si>
    <t>2024-284</t>
  </si>
  <si>
    <t>Sofie Korczak</t>
  </si>
  <si>
    <t>2024-288</t>
  </si>
  <si>
    <t>Sandra Oberle</t>
  </si>
  <si>
    <t>2024-294</t>
  </si>
  <si>
    <t>Chiara Asisha Klein</t>
  </si>
  <si>
    <t>2024-296</t>
  </si>
  <si>
    <t>2024-332</t>
  </si>
  <si>
    <t>2024-343</t>
  </si>
  <si>
    <t>Estelle Gilleron</t>
  </si>
  <si>
    <t>2024-297</t>
  </si>
  <si>
    <t>Ela Centimese</t>
  </si>
  <si>
    <t>?</t>
  </si>
  <si>
    <t>Julian Botschafter</t>
  </si>
  <si>
    <t>2024-301</t>
  </si>
  <si>
    <t>Ivana Forde</t>
  </si>
  <si>
    <t>2024-336</t>
  </si>
  <si>
    <t>Luis Schley</t>
  </si>
  <si>
    <t>2024-354</t>
  </si>
  <si>
    <t>Luca Finn Kapoor</t>
  </si>
  <si>
    <t>20024-359</t>
  </si>
  <si>
    <t>Maya Buhl</t>
  </si>
  <si>
    <t>2024-362</t>
  </si>
  <si>
    <t>Léo Paul Cord'homme</t>
  </si>
  <si>
    <t>2024-363</t>
  </si>
  <si>
    <t>Alice Renoux</t>
  </si>
  <si>
    <t>2024-364</t>
  </si>
  <si>
    <t>Noah Hess</t>
  </si>
  <si>
    <t>2024-365</t>
  </si>
  <si>
    <t>Mandy Alex</t>
  </si>
  <si>
    <t>2024-366</t>
  </si>
  <si>
    <t>noch zu erwarten alleine aus 10069 Zahlungen 2023 56.387,07€</t>
  </si>
  <si>
    <t>2024-360</t>
  </si>
  <si>
    <t>Bauer</t>
  </si>
  <si>
    <t>2024-356</t>
  </si>
  <si>
    <t>Emily Beker</t>
  </si>
  <si>
    <t>2024-323</t>
  </si>
  <si>
    <t>Amelie Magdalena Grawe</t>
  </si>
  <si>
    <t>2024-311</t>
  </si>
  <si>
    <t>Neomi Holenstein</t>
  </si>
  <si>
    <t>2024-335</t>
  </si>
  <si>
    <t>Jankowiak Mila</t>
  </si>
  <si>
    <t>2024-307</t>
  </si>
  <si>
    <t>Jung</t>
  </si>
  <si>
    <t>2024-344</t>
  </si>
  <si>
    <t>Liebmann</t>
  </si>
  <si>
    <t>Sonja Leiner 2024-306</t>
  </si>
  <si>
    <t>2024-306</t>
  </si>
  <si>
    <t>Harriet Lumley</t>
  </si>
  <si>
    <t>2024-213</t>
  </si>
  <si>
    <t xml:space="preserve">Mertens Nicole </t>
  </si>
  <si>
    <t>2024-353</t>
  </si>
  <si>
    <t xml:space="preserve">Marxkos </t>
  </si>
  <si>
    <t>2024-048</t>
  </si>
  <si>
    <t>Matzke Philipp</t>
  </si>
  <si>
    <t>2024-334</t>
  </si>
  <si>
    <t xml:space="preserve">Noll </t>
  </si>
  <si>
    <t>2024-361</t>
  </si>
  <si>
    <t>neu gebucht in 2025</t>
  </si>
  <si>
    <t>Sophie Schindler</t>
  </si>
  <si>
    <t>2024-281</t>
  </si>
  <si>
    <t xml:space="preserve">Julian Schupp </t>
  </si>
  <si>
    <t>2024-348</t>
  </si>
  <si>
    <t>Schuster</t>
  </si>
  <si>
    <t>2024-041</t>
  </si>
  <si>
    <t>Emma van Bever</t>
  </si>
  <si>
    <t>2024-293</t>
  </si>
  <si>
    <t>Emilio Leon Reyes</t>
  </si>
  <si>
    <t>2024-279</t>
  </si>
  <si>
    <t xml:space="preserve">Ramona Wothe </t>
  </si>
  <si>
    <t xml:space="preserve">2. Anzahlung </t>
  </si>
  <si>
    <t>Restbetrag</t>
  </si>
  <si>
    <t>Gesamt 13.800,00€</t>
  </si>
  <si>
    <t>restliche Rechnungen werden in 2025 erstellt</t>
  </si>
  <si>
    <t>Highschool 2025</t>
  </si>
  <si>
    <t>Überzahlung</t>
  </si>
  <si>
    <t>gehört zu Debitor 10089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</si>
</sst>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64" fontId="0" fillId="2" borderId="0" xfId="0" applyNumberFormat="1" applyFill="1"/>
    <xf numFmtId="0" fontId="0" fillId="3" borderId="0" xfId="0" applyFill="1" applyAlignment="1">
      <alignment horizontal="center" vertical="center"/>
    </xf>
    <xf numFmtId="164" fontId="0" fillId="3" borderId="0" xfId="0" applyNumberFormat="1" applyFill="1"/>
    <xf numFmtId="14" fontId="0" fillId="3" borderId="0" xfId="0" applyNumberFormat="1" applyFill="1"/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  <xf numFmtId="14" fontId="0" fillId="0" borderId="0" xfId="0" applyNumberFormat="1" applyBorder="1"/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14" fontId="0" fillId="0" borderId="2" xfId="0" applyNumberForma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/>
    <xf numFmtId="14" fontId="0" fillId="0" borderId="3" xfId="0" applyNumberFormat="1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164" fontId="0" fillId="3" borderId="4" xfId="0" applyNumberFormat="1" applyFill="1" applyBorder="1"/>
    <xf numFmtId="0" fontId="0" fillId="3" borderId="4" xfId="0" applyFill="1" applyBorder="1"/>
    <xf numFmtId="14" fontId="0" fillId="3" borderId="4" xfId="0" applyNumberFormat="1" applyFill="1" applyBorder="1"/>
    <xf numFmtId="164" fontId="0" fillId="0" borderId="4" xfId="0" applyNumberFormat="1" applyBorder="1"/>
    <xf numFmtId="14" fontId="0" fillId="0" borderId="4" xfId="0" applyNumberFormat="1" applyBorder="1"/>
    <xf numFmtId="0" fontId="0" fillId="0" borderId="5" xfId="0" applyBorder="1" applyAlignment="1">
      <alignment horizontal="center" vertical="center"/>
    </xf>
    <xf numFmtId="0" fontId="0" fillId="0" borderId="5" xfId="0" applyFill="1" applyBorder="1"/>
    <xf numFmtId="164" fontId="0" fillId="0" borderId="5" xfId="0" applyNumberFormat="1" applyBorder="1"/>
    <xf numFmtId="14" fontId="0" fillId="0" borderId="5" xfId="0" applyNumberFormat="1" applyBorder="1"/>
    <xf numFmtId="0" fontId="0" fillId="3" borderId="0" xfId="0" applyFill="1" applyBorder="1" applyAlignment="1">
      <alignment horizontal="center" vertical="center"/>
    </xf>
    <xf numFmtId="164" fontId="0" fillId="3" borderId="0" xfId="0" applyNumberFormat="1" applyFill="1" applyBorder="1"/>
    <xf numFmtId="14" fontId="0" fillId="3" borderId="0" xfId="0" applyNumberFormat="1" applyFill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Border="1"/>
    <xf numFmtId="14" fontId="0" fillId="0" borderId="6" xfId="0" applyNumberFormat="1" applyBorder="1"/>
    <xf numFmtId="0" fontId="0" fillId="4" borderId="0" xfId="0" applyFill="1" applyAlignment="1">
      <alignment horizontal="center" vertical="center"/>
    </xf>
    <xf numFmtId="164" fontId="0" fillId="4" borderId="0" xfId="0" applyNumberFormat="1" applyFill="1"/>
    <xf numFmtId="14" fontId="0" fillId="4" borderId="0" xfId="0" applyNumberFormat="1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/>
    <xf numFmtId="14" fontId="0" fillId="5" borderId="0" xfId="0" applyNumberFormat="1" applyFill="1"/>
    <xf numFmtId="164" fontId="0" fillId="6" borderId="0" xfId="0" applyNumberFormat="1" applyFill="1"/>
    <xf numFmtId="14" fontId="0" fillId="6" borderId="0" xfId="0" applyNumberFormat="1" applyFill="1"/>
    <xf numFmtId="164" fontId="0" fillId="6" borderId="4" xfId="0" applyNumberFormat="1" applyFill="1" applyBorder="1"/>
    <xf numFmtId="14" fontId="0" fillId="6" borderId="4" xfId="0" applyNumberFormat="1" applyFill="1" applyBorder="1"/>
    <xf numFmtId="164" fontId="0" fillId="6" borderId="0" xfId="0" applyNumberFormat="1" applyFill="1" applyBorder="1"/>
    <xf numFmtId="164" fontId="0" fillId="6" borderId="1" xfId="0" applyNumberFormat="1" applyFill="1" applyBorder="1"/>
    <xf numFmtId="14" fontId="0" fillId="6" borderId="1" xfId="0" applyNumberFormat="1" applyFill="1" applyBorder="1"/>
    <xf numFmtId="0" fontId="0" fillId="6" borderId="0" xfId="0" applyFill="1"/>
    <xf numFmtId="0" fontId="0" fillId="5" borderId="0" xfId="0" applyFill="1"/>
    <xf numFmtId="164" fontId="0" fillId="5" borderId="0" xfId="0" applyNumberFormat="1" applyFill="1" applyBorder="1"/>
    <xf numFmtId="14" fontId="0" fillId="6" borderId="0" xfId="0" applyNumberFormat="1" applyFill="1" applyBorder="1"/>
    <xf numFmtId="0" fontId="0" fillId="7" borderId="0" xfId="0" applyFill="1" applyAlignment="1">
      <alignment horizontal="center" vertical="center"/>
    </xf>
    <xf numFmtId="0" fontId="0" fillId="7" borderId="0" xfId="0" applyFill="1"/>
    <xf numFmtId="164" fontId="0" fillId="7" borderId="0" xfId="0" applyNumberFormat="1" applyFill="1"/>
    <xf numFmtId="14" fontId="0" fillId="7" borderId="0" xfId="0" applyNumberForma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7A66-5C12-4870-B87A-F75A12F93A6C}">
  <dimension ref="A1:Q224"/>
  <sheetViews>
    <sheetView tabSelected="1" workbookViewId="0">
      <pane ySplit="1" topLeftCell="A149" activePane="bottomLeft" state="frozen"/>
      <selection pane="bottomLeft" activeCell="L146" sqref="L146"/>
    </sheetView>
  </sheetViews>
  <sheetFormatPr baseColWidth="10" defaultRowHeight="14.4" x14ac:dyDescent="0.3"/>
  <cols>
    <col min="1" max="1" width="11.5546875" style="2"/>
    <col min="2" max="2" width="22.88671875" bestFit="1" customWidth="1"/>
    <col min="3" max="3" width="11.5546875" style="2"/>
    <col min="4" max="5" width="11.5546875" style="3"/>
    <col min="7" max="7" width="11.5546875" style="3"/>
  </cols>
  <sheetData>
    <row r="1" spans="1:11" x14ac:dyDescent="0.3">
      <c r="A1" s="2" t="s">
        <v>0</v>
      </c>
      <c r="B1" t="s">
        <v>1</v>
      </c>
      <c r="C1" s="2" t="s">
        <v>2</v>
      </c>
      <c r="D1" s="3" t="s">
        <v>3</v>
      </c>
      <c r="E1" s="3" t="s">
        <v>4</v>
      </c>
      <c r="G1" s="3" t="s">
        <v>8</v>
      </c>
    </row>
    <row r="2" spans="1:11" x14ac:dyDescent="0.3">
      <c r="A2" s="2">
        <v>10001</v>
      </c>
      <c r="B2" t="s">
        <v>5</v>
      </c>
      <c r="C2" s="2" t="s">
        <v>6</v>
      </c>
      <c r="D2" s="3">
        <v>883.5</v>
      </c>
      <c r="G2" s="3">
        <f>+D2-E2</f>
        <v>883.5</v>
      </c>
    </row>
    <row r="3" spans="1:11" ht="15" thickBot="1" x14ac:dyDescent="0.35">
      <c r="A3" s="12"/>
      <c r="B3" s="13"/>
      <c r="C3" s="12" t="s">
        <v>7</v>
      </c>
      <c r="D3" s="14">
        <v>362.7</v>
      </c>
      <c r="E3" s="14">
        <v>362.7</v>
      </c>
      <c r="F3" s="15">
        <v>45362</v>
      </c>
      <c r="G3" s="14">
        <f>+D3-E3</f>
        <v>0</v>
      </c>
    </row>
    <row r="4" spans="1:11" x14ac:dyDescent="0.3">
      <c r="A4" s="33">
        <v>10003</v>
      </c>
      <c r="B4" s="34" t="s">
        <v>9</v>
      </c>
      <c r="C4" s="33" t="s">
        <v>10</v>
      </c>
      <c r="D4" s="35">
        <v>16400</v>
      </c>
      <c r="E4" s="35">
        <v>3280</v>
      </c>
      <c r="F4" s="36">
        <v>45301</v>
      </c>
      <c r="G4" s="35">
        <v>0</v>
      </c>
    </row>
    <row r="5" spans="1:11" x14ac:dyDescent="0.3">
      <c r="E5" s="3">
        <v>3280</v>
      </c>
      <c r="F5" s="1">
        <v>45357</v>
      </c>
      <c r="G5" s="3">
        <v>0</v>
      </c>
    </row>
    <row r="6" spans="1:11" x14ac:dyDescent="0.3">
      <c r="A6" s="4"/>
      <c r="B6" s="5"/>
      <c r="C6" s="4"/>
      <c r="D6" s="6"/>
      <c r="E6" s="6">
        <v>9840</v>
      </c>
      <c r="F6" s="7">
        <v>45443</v>
      </c>
      <c r="G6" s="6">
        <f>+D4-E4-E5-E6</f>
        <v>0</v>
      </c>
    </row>
    <row r="7" spans="1:11" x14ac:dyDescent="0.3">
      <c r="C7" s="2" t="s">
        <v>11</v>
      </c>
      <c r="D7" s="3">
        <v>680</v>
      </c>
      <c r="E7" s="3">
        <v>416</v>
      </c>
      <c r="F7" s="1">
        <v>45474</v>
      </c>
      <c r="G7" s="8">
        <f t="shared" ref="G7:G56" si="0">+D7-E7</f>
        <v>264</v>
      </c>
    </row>
    <row r="8" spans="1:11" x14ac:dyDescent="0.3">
      <c r="C8" s="2" t="s">
        <v>12</v>
      </c>
      <c r="D8" s="3">
        <v>380</v>
      </c>
      <c r="E8" s="3">
        <v>380</v>
      </c>
      <c r="F8" s="1">
        <v>45588</v>
      </c>
      <c r="G8" s="3">
        <f t="shared" si="0"/>
        <v>0</v>
      </c>
    </row>
    <row r="9" spans="1:11" x14ac:dyDescent="0.3">
      <c r="C9" s="2" t="s">
        <v>13</v>
      </c>
      <c r="D9" s="3">
        <v>680</v>
      </c>
      <c r="E9" s="3">
        <v>944</v>
      </c>
      <c r="F9" s="1">
        <v>45588</v>
      </c>
      <c r="G9" s="8">
        <f t="shared" si="0"/>
        <v>-264</v>
      </c>
      <c r="H9">
        <f xml:space="preserve"> 0</f>
        <v>0</v>
      </c>
    </row>
    <row r="10" spans="1:11" x14ac:dyDescent="0.3">
      <c r="C10" s="2">
        <v>18249</v>
      </c>
      <c r="D10" s="3">
        <v>5.56</v>
      </c>
      <c r="E10" s="3">
        <v>5.56</v>
      </c>
      <c r="F10" s="1">
        <v>45588</v>
      </c>
      <c r="G10" s="3">
        <f t="shared" si="0"/>
        <v>0</v>
      </c>
      <c r="H10" t="s">
        <v>16</v>
      </c>
    </row>
    <row r="11" spans="1:11" x14ac:dyDescent="0.3">
      <c r="A11" s="12"/>
      <c r="B11" s="13" t="s">
        <v>15</v>
      </c>
      <c r="C11" s="37">
        <v>18255</v>
      </c>
      <c r="D11" s="38">
        <v>-476</v>
      </c>
      <c r="E11" s="38">
        <v>-476</v>
      </c>
      <c r="F11" s="39">
        <v>45642</v>
      </c>
      <c r="G11" s="14">
        <f t="shared" si="0"/>
        <v>0</v>
      </c>
      <c r="H11" s="13" t="s">
        <v>14</v>
      </c>
      <c r="I11" s="13"/>
      <c r="J11" s="13"/>
      <c r="K11" s="13"/>
    </row>
    <row r="12" spans="1:11" ht="15" thickBot="1" x14ac:dyDescent="0.35">
      <c r="A12" s="25"/>
      <c r="B12" s="26"/>
      <c r="C12" s="27"/>
      <c r="D12" s="28"/>
      <c r="E12" s="28"/>
      <c r="F12" s="30"/>
      <c r="G12" s="31">
        <f>+E10+E11</f>
        <v>-470.44</v>
      </c>
      <c r="H12" s="26"/>
      <c r="I12" s="26"/>
      <c r="J12" s="26"/>
      <c r="K12" s="26"/>
    </row>
    <row r="13" spans="1:11" x14ac:dyDescent="0.3">
      <c r="A13" s="2">
        <v>10004</v>
      </c>
      <c r="B13" t="s">
        <v>17</v>
      </c>
      <c r="C13" s="2" t="s">
        <v>18</v>
      </c>
      <c r="D13" s="3">
        <v>15490</v>
      </c>
      <c r="E13" s="3">
        <v>3098</v>
      </c>
      <c r="F13" s="1">
        <v>45310</v>
      </c>
      <c r="G13" s="3">
        <v>0</v>
      </c>
    </row>
    <row r="14" spans="1:11" x14ac:dyDescent="0.3">
      <c r="E14" s="3">
        <v>3098</v>
      </c>
      <c r="F14" s="1">
        <v>45364</v>
      </c>
      <c r="G14" s="3">
        <v>0</v>
      </c>
    </row>
    <row r="15" spans="1:11" x14ac:dyDescent="0.3">
      <c r="A15" s="4"/>
      <c r="B15" s="5"/>
      <c r="C15" s="4"/>
      <c r="D15" s="6"/>
      <c r="E15" s="6">
        <v>9294</v>
      </c>
      <c r="F15" s="7">
        <v>45436</v>
      </c>
      <c r="G15" s="6">
        <f>+D13-E13-E14-E15</f>
        <v>0</v>
      </c>
    </row>
    <row r="16" spans="1:11" x14ac:dyDescent="0.3">
      <c r="C16" s="9" t="s">
        <v>19</v>
      </c>
      <c r="D16" s="10">
        <v>-210</v>
      </c>
      <c r="E16" s="10">
        <v>0</v>
      </c>
      <c r="F16" s="16"/>
      <c r="G16" s="10">
        <f t="shared" si="0"/>
        <v>-210</v>
      </c>
      <c r="H16" t="s">
        <v>21</v>
      </c>
    </row>
    <row r="17" spans="1:16" ht="15" thickBot="1" x14ac:dyDescent="0.35">
      <c r="A17" s="25"/>
      <c r="B17" s="26"/>
      <c r="C17" s="27" t="s">
        <v>20</v>
      </c>
      <c r="D17" s="28">
        <v>20</v>
      </c>
      <c r="E17" s="28"/>
      <c r="F17" s="29"/>
      <c r="G17" s="28">
        <f>+D16+D17</f>
        <v>-190</v>
      </c>
      <c r="H17" s="26" t="s">
        <v>22</v>
      </c>
      <c r="I17" s="26"/>
      <c r="J17" s="26"/>
      <c r="K17" s="26"/>
    </row>
    <row r="18" spans="1:16" x14ac:dyDescent="0.3">
      <c r="A18" s="40">
        <v>10010</v>
      </c>
      <c r="B18" s="41" t="s">
        <v>23</v>
      </c>
      <c r="C18" s="40" t="s">
        <v>24</v>
      </c>
      <c r="D18" s="42">
        <v>0</v>
      </c>
      <c r="E18" s="42">
        <v>1378</v>
      </c>
      <c r="F18" s="43">
        <v>45309</v>
      </c>
      <c r="G18" s="42">
        <f t="shared" si="0"/>
        <v>-1378</v>
      </c>
    </row>
    <row r="19" spans="1:16" x14ac:dyDescent="0.3">
      <c r="C19" s="2" t="s">
        <v>25</v>
      </c>
      <c r="D19" s="3">
        <v>6890</v>
      </c>
      <c r="E19" s="3">
        <v>5512</v>
      </c>
      <c r="F19" s="1">
        <v>45446</v>
      </c>
      <c r="G19" s="3">
        <f t="shared" si="0"/>
        <v>1378</v>
      </c>
    </row>
    <row r="20" spans="1:16" ht="15" thickBot="1" x14ac:dyDescent="0.35">
      <c r="A20" s="12"/>
      <c r="B20" s="13"/>
      <c r="C20" s="12"/>
      <c r="D20" s="14"/>
      <c r="E20" s="14">
        <v>120</v>
      </c>
      <c r="F20" s="15">
        <v>45460</v>
      </c>
      <c r="G20" s="14">
        <f>+D18+D19-E18-E19-E20</f>
        <v>-120</v>
      </c>
    </row>
    <row r="21" spans="1:16" x14ac:dyDescent="0.3">
      <c r="A21" s="40">
        <v>10016</v>
      </c>
      <c r="B21" s="41" t="s">
        <v>26</v>
      </c>
      <c r="C21" s="40" t="s">
        <v>27</v>
      </c>
      <c r="D21" s="42">
        <v>4119</v>
      </c>
      <c r="E21" s="42">
        <v>823.8</v>
      </c>
      <c r="F21" s="43">
        <v>45362</v>
      </c>
      <c r="G21" s="42">
        <f t="shared" si="0"/>
        <v>3295.2</v>
      </c>
    </row>
    <row r="22" spans="1:16" ht="15" thickBot="1" x14ac:dyDescent="0.35">
      <c r="A22" s="21"/>
      <c r="B22" s="22"/>
      <c r="C22" s="21" t="s">
        <v>28</v>
      </c>
      <c r="D22" s="23">
        <v>2245</v>
      </c>
      <c r="E22" s="23">
        <v>2245</v>
      </c>
      <c r="F22" s="24">
        <v>45475</v>
      </c>
      <c r="G22" s="23">
        <f t="shared" si="0"/>
        <v>0</v>
      </c>
    </row>
    <row r="23" spans="1:16" x14ac:dyDescent="0.3">
      <c r="A23" s="2">
        <v>10020</v>
      </c>
      <c r="B23" t="s">
        <v>29</v>
      </c>
      <c r="C23" s="2" t="s">
        <v>30</v>
      </c>
      <c r="D23" s="3">
        <v>695.6</v>
      </c>
      <c r="E23" s="3">
        <v>836.4</v>
      </c>
      <c r="F23" s="1">
        <v>45351</v>
      </c>
      <c r="G23" s="3">
        <f t="shared" si="0"/>
        <v>-140.79999999999995</v>
      </c>
    </row>
    <row r="24" spans="1:16" x14ac:dyDescent="0.3">
      <c r="E24" s="3">
        <v>-836.4</v>
      </c>
      <c r="F24" s="1">
        <v>45351</v>
      </c>
      <c r="G24" s="3">
        <f t="shared" si="0"/>
        <v>836.4</v>
      </c>
      <c r="H24" t="s">
        <v>31</v>
      </c>
    </row>
    <row r="25" spans="1:16" ht="15" thickBot="1" x14ac:dyDescent="0.35">
      <c r="A25" s="25"/>
      <c r="B25" s="26"/>
      <c r="C25" s="25"/>
      <c r="D25" s="31"/>
      <c r="E25" s="31">
        <v>836.4</v>
      </c>
      <c r="F25" s="32">
        <v>45351</v>
      </c>
      <c r="G25" s="31">
        <f>+G24+E25+G23</f>
        <v>1532</v>
      </c>
      <c r="H25" s="26" t="s">
        <v>78</v>
      </c>
      <c r="I25" s="26"/>
      <c r="J25" s="26"/>
      <c r="K25" s="26"/>
      <c r="L25" s="26"/>
      <c r="M25" s="26"/>
      <c r="N25" s="26"/>
      <c r="O25" s="26"/>
      <c r="P25" s="26"/>
    </row>
    <row r="26" spans="1:16" x14ac:dyDescent="0.3">
      <c r="A26" s="2">
        <v>10021</v>
      </c>
      <c r="B26" t="s">
        <v>32</v>
      </c>
      <c r="C26" s="2" t="s">
        <v>33</v>
      </c>
      <c r="D26" s="3">
        <v>1758</v>
      </c>
      <c r="G26" s="3">
        <f t="shared" si="0"/>
        <v>1758</v>
      </c>
    </row>
    <row r="27" spans="1:16" ht="15" thickBot="1" x14ac:dyDescent="0.35">
      <c r="A27" s="25"/>
      <c r="B27" s="26"/>
      <c r="C27" s="25"/>
      <c r="D27" s="31"/>
      <c r="E27" s="31"/>
      <c r="F27" s="26"/>
      <c r="G27" s="31">
        <f t="shared" si="0"/>
        <v>0</v>
      </c>
    </row>
    <row r="28" spans="1:16" x14ac:dyDescent="0.3">
      <c r="A28" s="2">
        <v>10024</v>
      </c>
      <c r="B28" t="s">
        <v>34</v>
      </c>
      <c r="C28" s="2" t="s">
        <v>35</v>
      </c>
      <c r="D28" s="3">
        <v>332</v>
      </c>
      <c r="G28" s="3">
        <f t="shared" si="0"/>
        <v>332</v>
      </c>
    </row>
    <row r="29" spans="1:16" ht="15" thickBot="1" x14ac:dyDescent="0.35">
      <c r="A29" s="25"/>
      <c r="B29" s="26"/>
      <c r="C29" s="25"/>
      <c r="D29" s="31"/>
      <c r="E29" s="31"/>
      <c r="F29" s="26"/>
      <c r="G29" s="31">
        <f t="shared" si="0"/>
        <v>0</v>
      </c>
    </row>
    <row r="30" spans="1:16" x14ac:dyDescent="0.3">
      <c r="A30" s="2">
        <v>10031</v>
      </c>
      <c r="B30" t="s">
        <v>36</v>
      </c>
      <c r="C30" s="2" t="s">
        <v>37</v>
      </c>
      <c r="D30" s="3">
        <v>3150</v>
      </c>
      <c r="E30" s="3">
        <v>290</v>
      </c>
      <c r="F30" s="1">
        <v>45369</v>
      </c>
      <c r="G30" s="3">
        <v>0</v>
      </c>
    </row>
    <row r="31" spans="1:16" x14ac:dyDescent="0.3">
      <c r="E31" s="3">
        <v>340</v>
      </c>
      <c r="F31" s="1">
        <v>45453</v>
      </c>
      <c r="G31" s="3">
        <v>0</v>
      </c>
    </row>
    <row r="32" spans="1:16" x14ac:dyDescent="0.3">
      <c r="E32" s="50">
        <v>1160</v>
      </c>
      <c r="F32" s="51">
        <v>45551</v>
      </c>
      <c r="G32" s="50">
        <f>+D30-E30-E31-E32</f>
        <v>1360</v>
      </c>
    </row>
    <row r="33" spans="1:9" ht="15" thickBot="1" x14ac:dyDescent="0.35">
      <c r="A33" s="25"/>
      <c r="B33" s="26"/>
      <c r="C33" s="25"/>
      <c r="D33" s="31"/>
      <c r="E33" s="52">
        <v>1360</v>
      </c>
      <c r="F33" s="53">
        <v>45659</v>
      </c>
      <c r="G33" s="52">
        <f t="shared" si="0"/>
        <v>-1360</v>
      </c>
    </row>
    <row r="34" spans="1:9" x14ac:dyDescent="0.3">
      <c r="A34" s="2">
        <v>10046</v>
      </c>
      <c r="B34" t="s">
        <v>38</v>
      </c>
      <c r="C34" s="2" t="s">
        <v>39</v>
      </c>
      <c r="D34" s="3">
        <v>944</v>
      </c>
      <c r="G34" s="3">
        <f t="shared" si="0"/>
        <v>944</v>
      </c>
    </row>
    <row r="35" spans="1:9" ht="15" thickBot="1" x14ac:dyDescent="0.35">
      <c r="A35" s="25"/>
      <c r="B35" s="26"/>
      <c r="C35" s="25"/>
      <c r="D35" s="31"/>
      <c r="E35" s="31"/>
      <c r="F35" s="26"/>
      <c r="G35" s="31">
        <f t="shared" si="0"/>
        <v>0</v>
      </c>
    </row>
    <row r="36" spans="1:9" x14ac:dyDescent="0.3">
      <c r="A36" s="40">
        <v>10049</v>
      </c>
      <c r="B36" s="41" t="s">
        <v>40</v>
      </c>
      <c r="C36" s="40" t="s">
        <v>41</v>
      </c>
      <c r="D36" s="42">
        <v>811</v>
      </c>
      <c r="E36" s="42">
        <v>811</v>
      </c>
      <c r="F36" s="43">
        <v>45425</v>
      </c>
      <c r="G36" s="42">
        <f t="shared" si="0"/>
        <v>0</v>
      </c>
    </row>
    <row r="37" spans="1:9" x14ac:dyDescent="0.3">
      <c r="C37" s="2" t="s">
        <v>42</v>
      </c>
      <c r="D37" s="3">
        <v>70</v>
      </c>
      <c r="G37" s="3">
        <f t="shared" si="0"/>
        <v>70</v>
      </c>
    </row>
    <row r="38" spans="1:9" ht="15" thickBot="1" x14ac:dyDescent="0.35">
      <c r="A38" s="25"/>
      <c r="B38" s="26"/>
      <c r="C38" s="25"/>
      <c r="D38" s="31"/>
      <c r="E38" s="31"/>
      <c r="F38" s="26"/>
      <c r="G38" s="31">
        <f t="shared" si="0"/>
        <v>0</v>
      </c>
    </row>
    <row r="39" spans="1:9" x14ac:dyDescent="0.3">
      <c r="A39" s="40">
        <v>10050</v>
      </c>
      <c r="B39" s="41" t="s">
        <v>43</v>
      </c>
      <c r="C39" s="40" t="s">
        <v>44</v>
      </c>
      <c r="D39" s="42">
        <v>1496</v>
      </c>
      <c r="E39" s="42">
        <v>1496</v>
      </c>
      <c r="F39" s="43">
        <v>45352</v>
      </c>
      <c r="G39" s="42">
        <f t="shared" si="0"/>
        <v>0</v>
      </c>
    </row>
    <row r="40" spans="1:9" x14ac:dyDescent="0.3">
      <c r="C40" s="2" t="s">
        <v>45</v>
      </c>
      <c r="D40" s="3">
        <v>138</v>
      </c>
      <c r="G40" s="3">
        <f t="shared" si="0"/>
        <v>138</v>
      </c>
    </row>
    <row r="41" spans="1:9" ht="15" thickBot="1" x14ac:dyDescent="0.35">
      <c r="A41" s="25"/>
      <c r="B41" s="26"/>
      <c r="C41" s="25"/>
      <c r="D41" s="31"/>
      <c r="E41" s="31"/>
      <c r="F41" s="26"/>
      <c r="G41" s="31">
        <f t="shared" si="0"/>
        <v>0</v>
      </c>
    </row>
    <row r="42" spans="1:9" x14ac:dyDescent="0.3">
      <c r="A42" s="2">
        <v>10056</v>
      </c>
      <c r="B42" t="s">
        <v>46</v>
      </c>
      <c r="C42" s="2" t="s">
        <v>47</v>
      </c>
      <c r="D42" s="3">
        <v>362.7</v>
      </c>
      <c r="E42" s="3">
        <v>362.7</v>
      </c>
      <c r="F42" s="1">
        <v>45363</v>
      </c>
      <c r="G42" s="3">
        <f t="shared" si="0"/>
        <v>0</v>
      </c>
    </row>
    <row r="43" spans="1:9" x14ac:dyDescent="0.3">
      <c r="C43" s="2" t="s">
        <v>47</v>
      </c>
      <c r="D43" s="3">
        <v>-362.7</v>
      </c>
      <c r="G43" s="3">
        <f t="shared" si="0"/>
        <v>-362.7</v>
      </c>
      <c r="H43" t="s">
        <v>48</v>
      </c>
    </row>
    <row r="44" spans="1:9" ht="15" thickBot="1" x14ac:dyDescent="0.35">
      <c r="A44" s="25"/>
      <c r="B44" s="26"/>
      <c r="C44" s="25"/>
      <c r="D44" s="31"/>
      <c r="E44" s="31"/>
      <c r="F44" s="26"/>
      <c r="G44" s="31">
        <f t="shared" si="0"/>
        <v>0</v>
      </c>
      <c r="H44" s="26"/>
      <c r="I44" s="26"/>
    </row>
    <row r="45" spans="1:9" x14ac:dyDescent="0.3">
      <c r="A45" s="2">
        <v>10059</v>
      </c>
      <c r="B45" t="s">
        <v>49</v>
      </c>
      <c r="C45" s="2" t="s">
        <v>51</v>
      </c>
      <c r="D45" s="3">
        <v>472.5</v>
      </c>
      <c r="G45" s="3">
        <f t="shared" si="0"/>
        <v>472.5</v>
      </c>
    </row>
    <row r="46" spans="1:9" ht="15" thickBot="1" x14ac:dyDescent="0.35">
      <c r="A46" s="25"/>
      <c r="B46" s="26"/>
      <c r="C46" s="25"/>
      <c r="D46" s="31"/>
      <c r="E46" s="31"/>
      <c r="F46" s="26"/>
      <c r="G46" s="31">
        <f t="shared" si="0"/>
        <v>0</v>
      </c>
    </row>
    <row r="47" spans="1:9" x14ac:dyDescent="0.3">
      <c r="A47" s="40">
        <v>10065</v>
      </c>
      <c r="B47" s="41" t="s">
        <v>50</v>
      </c>
      <c r="C47" s="40" t="s">
        <v>52</v>
      </c>
      <c r="D47" s="42">
        <v>332</v>
      </c>
      <c r="E47" s="42">
        <v>332</v>
      </c>
      <c r="F47" s="43">
        <v>45379</v>
      </c>
      <c r="G47" s="42">
        <f t="shared" si="0"/>
        <v>0</v>
      </c>
    </row>
    <row r="48" spans="1:9" x14ac:dyDescent="0.3">
      <c r="C48" s="2" t="s">
        <v>53</v>
      </c>
      <c r="D48" s="3">
        <v>30</v>
      </c>
      <c r="G48" s="3">
        <f t="shared" si="0"/>
        <v>30</v>
      </c>
    </row>
    <row r="49" spans="1:7" ht="15" thickBot="1" x14ac:dyDescent="0.35">
      <c r="A49" s="25"/>
      <c r="B49" s="26"/>
      <c r="C49" s="25"/>
      <c r="D49" s="31"/>
      <c r="E49" s="31"/>
      <c r="F49" s="26"/>
      <c r="G49" s="31">
        <f t="shared" si="0"/>
        <v>0</v>
      </c>
    </row>
    <row r="50" spans="1:7" x14ac:dyDescent="0.3">
      <c r="A50" s="2">
        <v>10068</v>
      </c>
      <c r="B50" t="s">
        <v>54</v>
      </c>
      <c r="C50" s="2" t="s">
        <v>55</v>
      </c>
      <c r="D50" s="3">
        <v>16400</v>
      </c>
      <c r="E50" s="3">
        <v>6560</v>
      </c>
      <c r="F50" t="s">
        <v>56</v>
      </c>
      <c r="G50" s="3">
        <v>0</v>
      </c>
    </row>
    <row r="51" spans="1:7" x14ac:dyDescent="0.3">
      <c r="A51" s="4"/>
      <c r="B51" s="5"/>
      <c r="C51" s="4"/>
      <c r="D51" s="6"/>
      <c r="E51" s="6">
        <v>9840</v>
      </c>
      <c r="F51" s="7">
        <v>45462</v>
      </c>
      <c r="G51" s="6">
        <f>+D50-E50-E51</f>
        <v>0</v>
      </c>
    </row>
    <row r="52" spans="1:7" x14ac:dyDescent="0.3">
      <c r="C52" s="2" t="s">
        <v>57</v>
      </c>
      <c r="D52" s="3">
        <v>1400</v>
      </c>
      <c r="E52" s="50">
        <v>280</v>
      </c>
      <c r="F52" s="51">
        <v>45460</v>
      </c>
      <c r="G52" s="50">
        <f t="shared" si="0"/>
        <v>1120</v>
      </c>
    </row>
    <row r="53" spans="1:7" x14ac:dyDescent="0.3">
      <c r="A53" s="4"/>
      <c r="B53" s="5"/>
      <c r="C53" s="4"/>
      <c r="D53" s="6"/>
      <c r="E53" s="55">
        <v>1120</v>
      </c>
      <c r="F53" s="56">
        <v>45712</v>
      </c>
      <c r="G53" s="55">
        <f t="shared" si="0"/>
        <v>-1120</v>
      </c>
    </row>
    <row r="54" spans="1:7" x14ac:dyDescent="0.3">
      <c r="A54" s="17"/>
      <c r="B54" s="18"/>
      <c r="C54" s="17" t="s">
        <v>58</v>
      </c>
      <c r="D54" s="19">
        <v>380</v>
      </c>
      <c r="E54" s="19">
        <v>380</v>
      </c>
      <c r="F54" s="20">
        <v>45534</v>
      </c>
      <c r="G54" s="19">
        <f t="shared" si="0"/>
        <v>0</v>
      </c>
    </row>
    <row r="55" spans="1:7" x14ac:dyDescent="0.3">
      <c r="C55" s="2" t="s">
        <v>59</v>
      </c>
      <c r="D55" s="3">
        <v>890</v>
      </c>
      <c r="E55" s="3">
        <v>890</v>
      </c>
      <c r="F55" s="1">
        <v>45614</v>
      </c>
      <c r="G55" s="3">
        <f t="shared" si="0"/>
        <v>0</v>
      </c>
    </row>
    <row r="56" spans="1:7" ht="15" thickBot="1" x14ac:dyDescent="0.35">
      <c r="A56" s="25"/>
      <c r="B56" s="26"/>
      <c r="C56" s="25"/>
      <c r="D56" s="31"/>
      <c r="E56" s="31"/>
      <c r="F56" s="26"/>
      <c r="G56" s="31">
        <f t="shared" si="0"/>
        <v>0</v>
      </c>
    </row>
    <row r="57" spans="1:7" x14ac:dyDescent="0.3">
      <c r="A57" s="2">
        <v>10069</v>
      </c>
      <c r="B57" t="s">
        <v>60</v>
      </c>
      <c r="D57" s="3">
        <v>149039.72</v>
      </c>
      <c r="G57" s="3">
        <v>0</v>
      </c>
    </row>
    <row r="58" spans="1:7" x14ac:dyDescent="0.3">
      <c r="C58" s="2" t="s">
        <v>61</v>
      </c>
      <c r="E58" s="3">
        <v>950</v>
      </c>
      <c r="F58" s="1">
        <v>45293</v>
      </c>
      <c r="G58" s="3">
        <v>0</v>
      </c>
    </row>
    <row r="59" spans="1:7" x14ac:dyDescent="0.3">
      <c r="C59" s="2" t="s">
        <v>63</v>
      </c>
      <c r="E59" s="3">
        <v>345</v>
      </c>
      <c r="F59" s="1">
        <v>45293</v>
      </c>
      <c r="G59" s="3">
        <v>0</v>
      </c>
    </row>
    <row r="60" spans="1:7" x14ac:dyDescent="0.3">
      <c r="C60" s="2" t="s">
        <v>62</v>
      </c>
      <c r="E60" s="3">
        <v>2250</v>
      </c>
      <c r="F60" s="1">
        <v>45294</v>
      </c>
      <c r="G60" s="3">
        <v>0</v>
      </c>
    </row>
    <row r="61" spans="1:7" x14ac:dyDescent="0.3">
      <c r="C61" s="2" t="s">
        <v>64</v>
      </c>
      <c r="E61" s="3">
        <v>990</v>
      </c>
      <c r="F61" s="1">
        <v>45294</v>
      </c>
      <c r="G61" s="3">
        <v>0</v>
      </c>
    </row>
    <row r="62" spans="1:7" x14ac:dyDescent="0.3">
      <c r="C62" s="2" t="s">
        <v>65</v>
      </c>
      <c r="E62" s="3">
        <v>789.6</v>
      </c>
      <c r="F62" s="1">
        <v>45295</v>
      </c>
      <c r="G62" s="3">
        <v>0</v>
      </c>
    </row>
    <row r="63" spans="1:7" x14ac:dyDescent="0.3">
      <c r="C63" s="2" t="s">
        <v>66</v>
      </c>
      <c r="E63" s="3">
        <v>475</v>
      </c>
      <c r="F63" s="1">
        <v>45296</v>
      </c>
      <c r="G63" s="3">
        <v>0</v>
      </c>
    </row>
    <row r="64" spans="1:7" x14ac:dyDescent="0.3">
      <c r="C64" s="47" t="s">
        <v>69</v>
      </c>
      <c r="D64" s="48"/>
      <c r="E64" s="48">
        <v>6000</v>
      </c>
      <c r="F64" s="49">
        <v>45296</v>
      </c>
      <c r="G64" s="48">
        <v>0</v>
      </c>
    </row>
    <row r="65" spans="2:7" x14ac:dyDescent="0.3">
      <c r="C65" s="2" t="s">
        <v>67</v>
      </c>
      <c r="E65" s="3">
        <v>792</v>
      </c>
      <c r="F65" s="1">
        <v>45296</v>
      </c>
      <c r="G65" s="3">
        <v>0</v>
      </c>
    </row>
    <row r="66" spans="2:7" x14ac:dyDescent="0.3">
      <c r="C66" s="2" t="s">
        <v>68</v>
      </c>
      <c r="E66" s="3">
        <v>356</v>
      </c>
      <c r="F66" s="1">
        <v>45299</v>
      </c>
      <c r="G66" s="3">
        <v>0</v>
      </c>
    </row>
    <row r="67" spans="2:7" x14ac:dyDescent="0.3">
      <c r="C67" s="47" t="s">
        <v>69</v>
      </c>
      <c r="D67" s="48"/>
      <c r="E67" s="48">
        <v>2000</v>
      </c>
      <c r="F67" s="49">
        <v>45299</v>
      </c>
      <c r="G67" s="48">
        <v>0</v>
      </c>
    </row>
    <row r="68" spans="2:7" x14ac:dyDescent="0.3">
      <c r="C68" s="47" t="s">
        <v>69</v>
      </c>
      <c r="D68" s="48"/>
      <c r="E68" s="48">
        <v>1330</v>
      </c>
      <c r="F68" s="49">
        <v>45299</v>
      </c>
      <c r="G68" s="48">
        <v>0</v>
      </c>
    </row>
    <row r="69" spans="2:7" x14ac:dyDescent="0.3">
      <c r="C69" s="2" t="s">
        <v>70</v>
      </c>
      <c r="E69" s="3">
        <v>1824</v>
      </c>
      <c r="F69" s="1">
        <v>45306</v>
      </c>
      <c r="G69" s="3">
        <v>0</v>
      </c>
    </row>
    <row r="70" spans="2:7" x14ac:dyDescent="0.3">
      <c r="C70" s="2" t="s">
        <v>63</v>
      </c>
      <c r="E70" s="3">
        <v>883.5</v>
      </c>
      <c r="F70" s="1">
        <v>45309</v>
      </c>
      <c r="G70" s="3">
        <v>0</v>
      </c>
    </row>
    <row r="71" spans="2:7" x14ac:dyDescent="0.3">
      <c r="C71" s="2" t="s">
        <v>71</v>
      </c>
      <c r="E71" s="3">
        <v>1186</v>
      </c>
      <c r="F71" s="1">
        <v>45309</v>
      </c>
      <c r="G71" s="3">
        <v>0</v>
      </c>
    </row>
    <row r="72" spans="2:7" x14ac:dyDescent="0.3">
      <c r="C72" s="2" t="s">
        <v>72</v>
      </c>
      <c r="E72" s="3">
        <v>1080</v>
      </c>
      <c r="F72" s="1">
        <v>45309</v>
      </c>
      <c r="G72" s="3">
        <v>0</v>
      </c>
    </row>
    <row r="73" spans="2:7" x14ac:dyDescent="0.3">
      <c r="C73" s="2" t="s">
        <v>73</v>
      </c>
      <c r="E73" s="3">
        <v>1112</v>
      </c>
      <c r="F73" s="1">
        <v>45316</v>
      </c>
      <c r="G73" s="3">
        <v>0</v>
      </c>
    </row>
    <row r="74" spans="2:7" x14ac:dyDescent="0.3">
      <c r="C74" s="2" t="s">
        <v>74</v>
      </c>
      <c r="E74" s="3">
        <v>737</v>
      </c>
      <c r="F74" s="1">
        <v>45317</v>
      </c>
      <c r="G74" s="3">
        <v>0</v>
      </c>
    </row>
    <row r="75" spans="2:7" x14ac:dyDescent="0.3">
      <c r="C75" s="2" t="s">
        <v>75</v>
      </c>
      <c r="E75" s="3">
        <v>588</v>
      </c>
      <c r="F75" s="1">
        <v>45323</v>
      </c>
      <c r="G75" s="3">
        <v>0</v>
      </c>
    </row>
    <row r="76" spans="2:7" x14ac:dyDescent="0.3">
      <c r="C76" s="2" t="s">
        <v>76</v>
      </c>
      <c r="E76" s="3">
        <v>1094.95</v>
      </c>
      <c r="F76" s="1">
        <v>45323</v>
      </c>
      <c r="G76" s="3">
        <v>0</v>
      </c>
    </row>
    <row r="77" spans="2:7" x14ac:dyDescent="0.3">
      <c r="B77" t="s">
        <v>77</v>
      </c>
      <c r="E77" s="3">
        <v>1532.6</v>
      </c>
      <c r="F77" s="1">
        <v>46058</v>
      </c>
      <c r="G77" s="3">
        <v>0</v>
      </c>
    </row>
    <row r="78" spans="2:7" x14ac:dyDescent="0.3">
      <c r="C78" s="2" t="s">
        <v>79</v>
      </c>
      <c r="E78" s="3">
        <v>1552</v>
      </c>
      <c r="F78" s="1">
        <v>45335</v>
      </c>
      <c r="G78" s="3">
        <v>0</v>
      </c>
    </row>
    <row r="79" spans="2:7" x14ac:dyDescent="0.3">
      <c r="C79" s="2" t="s">
        <v>80</v>
      </c>
      <c r="E79" s="3">
        <v>3280</v>
      </c>
      <c r="F79" s="1">
        <v>45337</v>
      </c>
      <c r="G79" s="3">
        <v>0</v>
      </c>
    </row>
    <row r="80" spans="2:7" x14ac:dyDescent="0.3">
      <c r="C80" s="2" t="s">
        <v>81</v>
      </c>
      <c r="E80" s="3">
        <v>2150</v>
      </c>
      <c r="F80" s="1">
        <v>45338</v>
      </c>
      <c r="G80" s="3">
        <v>0</v>
      </c>
    </row>
    <row r="81" spans="2:8" x14ac:dyDescent="0.3">
      <c r="C81" s="2" t="s">
        <v>82</v>
      </c>
      <c r="E81" s="3">
        <v>1670</v>
      </c>
      <c r="F81" s="1">
        <v>45338</v>
      </c>
      <c r="G81" s="3">
        <v>0</v>
      </c>
    </row>
    <row r="82" spans="2:8" x14ac:dyDescent="0.3">
      <c r="C82" s="2" t="s">
        <v>75</v>
      </c>
      <c r="E82" s="3">
        <v>147</v>
      </c>
      <c r="F82" s="1">
        <v>44976</v>
      </c>
      <c r="G82" s="3">
        <v>0</v>
      </c>
    </row>
    <row r="83" spans="2:8" x14ac:dyDescent="0.3">
      <c r="C83" s="2" t="s">
        <v>83</v>
      </c>
      <c r="E83" s="3">
        <v>1216</v>
      </c>
      <c r="F83" s="1">
        <v>45342</v>
      </c>
      <c r="G83" s="3">
        <v>0</v>
      </c>
    </row>
    <row r="84" spans="2:8" x14ac:dyDescent="0.3">
      <c r="C84" s="44" t="s">
        <v>84</v>
      </c>
      <c r="D84" s="45"/>
      <c r="E84" s="45">
        <v>1780</v>
      </c>
      <c r="F84" s="46">
        <v>45344</v>
      </c>
      <c r="G84" s="45">
        <v>0</v>
      </c>
    </row>
    <row r="85" spans="2:8" x14ac:dyDescent="0.3">
      <c r="C85" s="2" t="s">
        <v>85</v>
      </c>
      <c r="E85" s="3">
        <v>-200</v>
      </c>
      <c r="F85" s="1">
        <v>45348</v>
      </c>
      <c r="G85" s="3">
        <v>0</v>
      </c>
      <c r="H85" t="s">
        <v>86</v>
      </c>
    </row>
    <row r="86" spans="2:8" x14ac:dyDescent="0.3">
      <c r="C86" s="2" t="s">
        <v>87</v>
      </c>
      <c r="E86" s="3">
        <v>1552</v>
      </c>
      <c r="F86" s="1">
        <v>45351</v>
      </c>
      <c r="G86" s="3">
        <v>0</v>
      </c>
    </row>
    <row r="87" spans="2:8" x14ac:dyDescent="0.3">
      <c r="C87" s="2" t="s">
        <v>88</v>
      </c>
      <c r="E87" s="3">
        <v>1480</v>
      </c>
      <c r="F87" s="1">
        <v>45359</v>
      </c>
      <c r="G87" s="3">
        <v>0</v>
      </c>
    </row>
    <row r="88" spans="2:8" x14ac:dyDescent="0.3">
      <c r="C88" s="9" t="s">
        <v>89</v>
      </c>
      <c r="D88" s="10"/>
      <c r="E88" s="10">
        <v>1780</v>
      </c>
      <c r="F88" s="11">
        <v>45366</v>
      </c>
      <c r="G88" s="10">
        <v>0</v>
      </c>
    </row>
    <row r="89" spans="2:8" x14ac:dyDescent="0.3">
      <c r="C89" s="9" t="s">
        <v>89</v>
      </c>
      <c r="D89" s="10"/>
      <c r="E89" s="10">
        <v>5340</v>
      </c>
      <c r="F89" s="11">
        <v>45439</v>
      </c>
      <c r="G89" s="10">
        <v>0</v>
      </c>
    </row>
    <row r="90" spans="2:8" x14ac:dyDescent="0.3">
      <c r="C90" s="2" t="s">
        <v>82</v>
      </c>
      <c r="E90" s="3">
        <v>5010</v>
      </c>
      <c r="F90" s="1">
        <v>45443</v>
      </c>
      <c r="G90" s="3">
        <v>0</v>
      </c>
    </row>
    <row r="91" spans="2:8" x14ac:dyDescent="0.3">
      <c r="C91" s="2" t="s">
        <v>70</v>
      </c>
      <c r="E91" s="3">
        <v>7296</v>
      </c>
      <c r="F91" s="1">
        <v>45443</v>
      </c>
      <c r="G91" s="3">
        <v>0</v>
      </c>
    </row>
    <row r="92" spans="2:8" x14ac:dyDescent="0.3">
      <c r="C92" s="2" t="s">
        <v>90</v>
      </c>
      <c r="E92" s="3">
        <v>3640</v>
      </c>
      <c r="F92" s="1">
        <v>45443</v>
      </c>
      <c r="G92" s="3">
        <v>0</v>
      </c>
    </row>
    <row r="93" spans="2:8" x14ac:dyDescent="0.3">
      <c r="B93" t="s">
        <v>91</v>
      </c>
      <c r="E93" s="3">
        <v>6450</v>
      </c>
      <c r="F93" s="1">
        <v>45446</v>
      </c>
      <c r="G93" s="3">
        <v>0</v>
      </c>
    </row>
    <row r="94" spans="2:8" x14ac:dyDescent="0.3">
      <c r="C94" s="2" t="s">
        <v>80</v>
      </c>
      <c r="E94" s="3">
        <v>9840</v>
      </c>
      <c r="F94" s="1">
        <v>45446</v>
      </c>
      <c r="G94" s="3">
        <v>0</v>
      </c>
    </row>
    <row r="95" spans="2:8" x14ac:dyDescent="0.3">
      <c r="C95" s="2" t="s">
        <v>92</v>
      </c>
      <c r="E95" s="3">
        <v>574</v>
      </c>
      <c r="F95" s="1">
        <v>45453</v>
      </c>
      <c r="G95" s="3">
        <v>0</v>
      </c>
    </row>
    <row r="96" spans="2:8" x14ac:dyDescent="0.3">
      <c r="C96" s="2" t="s">
        <v>93</v>
      </c>
      <c r="E96" s="3">
        <v>574</v>
      </c>
      <c r="F96" s="1">
        <v>45467</v>
      </c>
      <c r="G96" s="3">
        <v>0</v>
      </c>
    </row>
    <row r="97" spans="1:9" x14ac:dyDescent="0.3">
      <c r="C97" s="44" t="s">
        <v>84</v>
      </c>
      <c r="D97" s="45"/>
      <c r="E97" s="45">
        <v>5340</v>
      </c>
      <c r="F97" s="46">
        <v>45471</v>
      </c>
      <c r="G97" s="45">
        <v>0</v>
      </c>
    </row>
    <row r="98" spans="1:9" x14ac:dyDescent="0.3">
      <c r="C98" s="2" t="s">
        <v>94</v>
      </c>
      <c r="E98" s="3">
        <v>5444</v>
      </c>
      <c r="F98" s="1">
        <v>45484</v>
      </c>
      <c r="G98" s="3">
        <v>0</v>
      </c>
    </row>
    <row r="99" spans="1:9" x14ac:dyDescent="0.3">
      <c r="C99" s="2" t="s">
        <v>95</v>
      </c>
      <c r="E99" s="3">
        <v>548</v>
      </c>
      <c r="F99" s="1">
        <v>45575</v>
      </c>
      <c r="G99" s="3">
        <v>0</v>
      </c>
    </row>
    <row r="100" spans="1:9" x14ac:dyDescent="0.3">
      <c r="B100" t="s">
        <v>96</v>
      </c>
      <c r="C100" s="2" t="s">
        <v>97</v>
      </c>
      <c r="E100" s="3">
        <v>-126</v>
      </c>
      <c r="F100" s="1">
        <v>45586</v>
      </c>
      <c r="G100" s="3">
        <f>+D57-E58-E59-E60-E61-E62-E63-E64-E66-E65-E67-E68-E69-E70-E71-E72-E73-E74-E75-E76-E77-E78-E79-E80-E81-E82-E83-E84-E85-E86-E87-E88-E89-E90-E91-E92-E93-E94-E95-E96-E97-E98-E99-E100</f>
        <v>56387.069999999992</v>
      </c>
      <c r="I100" s="3"/>
    </row>
    <row r="101" spans="1:9" ht="15" thickBot="1" x14ac:dyDescent="0.35">
      <c r="A101" s="25"/>
      <c r="B101" s="26"/>
      <c r="C101" s="25"/>
      <c r="D101" s="31"/>
      <c r="E101" s="31"/>
      <c r="F101" s="26"/>
      <c r="G101" s="31"/>
      <c r="H101" s="26"/>
    </row>
    <row r="102" spans="1:9" x14ac:dyDescent="0.3">
      <c r="A102" s="40">
        <v>10071</v>
      </c>
      <c r="B102" s="41" t="s">
        <v>98</v>
      </c>
      <c r="C102" s="40" t="s">
        <v>99</v>
      </c>
      <c r="D102" s="42">
        <v>10845</v>
      </c>
      <c r="E102" s="42">
        <v>4640</v>
      </c>
      <c r="F102" s="43">
        <v>45419</v>
      </c>
      <c r="G102" s="42">
        <f>+D102-E102</f>
        <v>6205</v>
      </c>
      <c r="H102" s="41"/>
    </row>
    <row r="103" spans="1:9" x14ac:dyDescent="0.3">
      <c r="C103" s="2" t="s">
        <v>100</v>
      </c>
      <c r="D103" s="3">
        <v>680</v>
      </c>
      <c r="G103" s="3">
        <f t="shared" ref="G103:G156" si="1">+D103-E103</f>
        <v>680</v>
      </c>
    </row>
    <row r="104" spans="1:9" ht="15" thickBot="1" x14ac:dyDescent="0.35">
      <c r="A104" s="25"/>
      <c r="B104" s="26"/>
      <c r="C104" s="25"/>
      <c r="D104" s="31"/>
      <c r="E104" s="31"/>
      <c r="F104" s="26"/>
      <c r="G104" s="31">
        <f t="shared" si="1"/>
        <v>0</v>
      </c>
      <c r="H104" s="26"/>
    </row>
    <row r="105" spans="1:9" x14ac:dyDescent="0.3">
      <c r="A105" s="2">
        <v>10072</v>
      </c>
      <c r="B105" t="s">
        <v>102</v>
      </c>
      <c r="C105" s="2" t="s">
        <v>101</v>
      </c>
      <c r="D105" s="3">
        <v>11600</v>
      </c>
      <c r="E105" s="3">
        <v>4640</v>
      </c>
      <c r="F105" s="1">
        <v>45401</v>
      </c>
      <c r="G105" s="3">
        <f t="shared" si="1"/>
        <v>6960</v>
      </c>
    </row>
    <row r="106" spans="1:9" x14ac:dyDescent="0.3">
      <c r="A106" s="4"/>
      <c r="B106" s="5"/>
      <c r="C106" s="4"/>
      <c r="D106" s="6"/>
      <c r="E106" s="6"/>
      <c r="F106" s="5"/>
      <c r="G106" s="6">
        <f t="shared" si="1"/>
        <v>0</v>
      </c>
      <c r="H106" s="5"/>
    </row>
    <row r="107" spans="1:9" x14ac:dyDescent="0.3">
      <c r="A107" s="17"/>
      <c r="B107" s="18"/>
      <c r="C107" s="17" t="s">
        <v>103</v>
      </c>
      <c r="D107" s="19">
        <v>1140</v>
      </c>
      <c r="E107" s="19">
        <v>1140</v>
      </c>
      <c r="F107" s="20">
        <v>45520</v>
      </c>
      <c r="G107" s="19">
        <f t="shared" si="1"/>
        <v>0</v>
      </c>
      <c r="H107" s="18"/>
    </row>
    <row r="108" spans="1:9" x14ac:dyDescent="0.3">
      <c r="C108" s="2" t="s">
        <v>104</v>
      </c>
      <c r="D108" s="3">
        <v>380</v>
      </c>
      <c r="G108" s="3">
        <f t="shared" si="1"/>
        <v>380</v>
      </c>
    </row>
    <row r="109" spans="1:9" ht="15" thickBot="1" x14ac:dyDescent="0.35">
      <c r="A109" s="25"/>
      <c r="B109" s="26"/>
      <c r="C109" s="25"/>
      <c r="D109" s="31"/>
      <c r="E109" s="31"/>
      <c r="F109" s="26"/>
      <c r="G109" s="31">
        <f t="shared" si="1"/>
        <v>0</v>
      </c>
      <c r="H109" s="26"/>
    </row>
    <row r="110" spans="1:9" x14ac:dyDescent="0.3">
      <c r="A110" s="2">
        <v>10080</v>
      </c>
      <c r="B110" t="s">
        <v>105</v>
      </c>
      <c r="C110" s="2" t="s">
        <v>106</v>
      </c>
      <c r="D110" s="3">
        <v>2040</v>
      </c>
      <c r="E110" s="3">
        <v>408</v>
      </c>
      <c r="F110" s="1">
        <v>45404</v>
      </c>
      <c r="G110" s="3">
        <f t="shared" si="1"/>
        <v>1632</v>
      </c>
    </row>
    <row r="111" spans="1:9" ht="15" thickBot="1" x14ac:dyDescent="0.35">
      <c r="A111" s="25"/>
      <c r="B111" s="26"/>
      <c r="C111" s="25"/>
      <c r="D111" s="31"/>
      <c r="E111" s="31"/>
      <c r="F111" s="26"/>
      <c r="G111" s="31">
        <f t="shared" si="1"/>
        <v>0</v>
      </c>
      <c r="H111" s="26"/>
    </row>
    <row r="112" spans="1:9" x14ac:dyDescent="0.3">
      <c r="A112" s="2">
        <v>10081</v>
      </c>
      <c r="B112" t="s">
        <v>107</v>
      </c>
      <c r="C112" s="2" t="s">
        <v>108</v>
      </c>
      <c r="D112" s="3">
        <v>970</v>
      </c>
      <c r="E112" s="3">
        <v>182</v>
      </c>
      <c r="F112" s="1">
        <v>45408</v>
      </c>
      <c r="G112" s="3">
        <f t="shared" si="1"/>
        <v>788</v>
      </c>
    </row>
    <row r="113" spans="1:8" ht="15" thickBot="1" x14ac:dyDescent="0.35">
      <c r="A113" s="25"/>
      <c r="B113" s="26"/>
      <c r="C113" s="25"/>
      <c r="D113" s="31"/>
      <c r="E113" s="31"/>
      <c r="F113" s="26"/>
      <c r="G113" s="31">
        <f t="shared" si="1"/>
        <v>0</v>
      </c>
      <c r="H113" s="26"/>
    </row>
    <row r="114" spans="1:8" x14ac:dyDescent="0.3">
      <c r="A114" s="2">
        <v>10083</v>
      </c>
      <c r="B114" t="s">
        <v>109</v>
      </c>
      <c r="C114" s="2" t="s">
        <v>110</v>
      </c>
      <c r="D114" s="3">
        <v>731.2</v>
      </c>
      <c r="E114" s="3">
        <v>67.209999999999994</v>
      </c>
      <c r="F114" s="1">
        <v>45411</v>
      </c>
      <c r="G114" s="3">
        <f t="shared" si="1"/>
        <v>663.99</v>
      </c>
    </row>
    <row r="115" spans="1:8" ht="15" thickBot="1" x14ac:dyDescent="0.35">
      <c r="A115" s="25"/>
      <c r="B115" s="26"/>
      <c r="C115" s="25"/>
      <c r="D115" s="31"/>
      <c r="E115" s="31"/>
      <c r="F115" s="26"/>
      <c r="G115" s="31">
        <f t="shared" si="1"/>
        <v>0</v>
      </c>
      <c r="H115" s="26"/>
    </row>
    <row r="116" spans="1:8" x14ac:dyDescent="0.3">
      <c r="A116" s="2">
        <v>10087</v>
      </c>
      <c r="B116" t="s">
        <v>111</v>
      </c>
      <c r="C116" s="2" t="s">
        <v>112</v>
      </c>
      <c r="D116" s="3">
        <v>523</v>
      </c>
      <c r="G116" s="3">
        <f t="shared" si="1"/>
        <v>523</v>
      </c>
    </row>
    <row r="117" spans="1:8" ht="15" thickBot="1" x14ac:dyDescent="0.35">
      <c r="A117" s="25"/>
      <c r="B117" s="26"/>
      <c r="C117" s="25"/>
      <c r="D117" s="31"/>
      <c r="E117" s="31"/>
      <c r="F117" s="26"/>
      <c r="G117" s="31">
        <f t="shared" si="1"/>
        <v>0</v>
      </c>
      <c r="H117" s="26"/>
    </row>
    <row r="118" spans="1:8" x14ac:dyDescent="0.3">
      <c r="A118" s="2">
        <v>10089</v>
      </c>
      <c r="B118" t="s">
        <v>113</v>
      </c>
      <c r="C118" s="2" t="s">
        <v>114</v>
      </c>
      <c r="D118" s="3">
        <v>901</v>
      </c>
      <c r="E118" s="3">
        <v>180.2</v>
      </c>
      <c r="F118" s="1">
        <v>45411</v>
      </c>
      <c r="G118" s="3">
        <v>0</v>
      </c>
    </row>
    <row r="119" spans="1:8" x14ac:dyDescent="0.3">
      <c r="A119" s="4"/>
      <c r="B119" s="5"/>
      <c r="C119" s="4"/>
      <c r="D119" s="6"/>
      <c r="E119" s="6">
        <v>720.8</v>
      </c>
      <c r="F119" s="7">
        <v>45411</v>
      </c>
      <c r="G119" s="6">
        <f>+D118-E118-E119</f>
        <v>0</v>
      </c>
      <c r="H119" s="5"/>
    </row>
    <row r="120" spans="1:8" x14ac:dyDescent="0.3">
      <c r="C120" s="2" t="s">
        <v>115</v>
      </c>
      <c r="E120" s="3">
        <v>720</v>
      </c>
      <c r="F120" s="1">
        <v>45492</v>
      </c>
      <c r="G120" s="3">
        <f t="shared" si="1"/>
        <v>-720</v>
      </c>
    </row>
    <row r="121" spans="1:8" x14ac:dyDescent="0.3">
      <c r="G121" s="3">
        <f t="shared" si="1"/>
        <v>0</v>
      </c>
    </row>
    <row r="122" spans="1:8" ht="15" thickBot="1" x14ac:dyDescent="0.35">
      <c r="A122" s="25"/>
      <c r="B122" s="26"/>
      <c r="C122" s="25"/>
      <c r="D122" s="31"/>
      <c r="E122" s="31"/>
      <c r="F122" s="26"/>
      <c r="G122" s="31">
        <f t="shared" si="1"/>
        <v>0</v>
      </c>
      <c r="H122" s="26"/>
    </row>
    <row r="123" spans="1:8" x14ac:dyDescent="0.3">
      <c r="A123" s="2">
        <v>10095</v>
      </c>
      <c r="B123" t="s">
        <v>116</v>
      </c>
      <c r="C123" s="2" t="s">
        <v>117</v>
      </c>
      <c r="D123" s="3">
        <v>1185</v>
      </c>
      <c r="G123" s="3">
        <f t="shared" si="1"/>
        <v>1185</v>
      </c>
    </row>
    <row r="124" spans="1:8" ht="15" thickBot="1" x14ac:dyDescent="0.35">
      <c r="A124" s="25"/>
      <c r="B124" s="26"/>
      <c r="C124" s="25"/>
      <c r="D124" s="31"/>
      <c r="E124" s="31"/>
      <c r="F124" s="26"/>
      <c r="G124" s="31">
        <f t="shared" si="1"/>
        <v>0</v>
      </c>
      <c r="H124" s="26"/>
    </row>
    <row r="125" spans="1:8" x14ac:dyDescent="0.3">
      <c r="A125" s="2">
        <v>10096</v>
      </c>
      <c r="B125" t="s">
        <v>118</v>
      </c>
      <c r="C125" s="2" t="s">
        <v>120</v>
      </c>
      <c r="D125" s="3">
        <v>2600</v>
      </c>
      <c r="E125" s="3">
        <v>502</v>
      </c>
      <c r="F125" s="1">
        <v>45443</v>
      </c>
      <c r="G125" s="3">
        <v>0</v>
      </c>
    </row>
    <row r="126" spans="1:8" x14ac:dyDescent="0.3">
      <c r="A126" s="4"/>
      <c r="B126" s="5"/>
      <c r="C126" s="4"/>
      <c r="D126" s="6"/>
      <c r="E126" s="6">
        <v>2098</v>
      </c>
      <c r="F126" s="7">
        <v>45537</v>
      </c>
      <c r="G126" s="6">
        <f>+D125-E125-E126</f>
        <v>0</v>
      </c>
      <c r="H126" s="5"/>
    </row>
    <row r="127" spans="1:8" x14ac:dyDescent="0.3">
      <c r="C127" s="2" t="s">
        <v>119</v>
      </c>
      <c r="D127" s="3">
        <v>2370</v>
      </c>
      <c r="E127" s="3">
        <v>465</v>
      </c>
      <c r="F127" s="1">
        <v>45460</v>
      </c>
      <c r="G127" s="3">
        <v>0</v>
      </c>
    </row>
    <row r="128" spans="1:8" x14ac:dyDescent="0.3">
      <c r="E128" s="3">
        <v>1824</v>
      </c>
      <c r="F128" s="1">
        <v>45537</v>
      </c>
      <c r="G128" s="3">
        <f>+D127-E127-E128</f>
        <v>81</v>
      </c>
    </row>
    <row r="129" spans="1:8" ht="15" thickBot="1" x14ac:dyDescent="0.35">
      <c r="A129" s="25"/>
      <c r="B129" s="26"/>
      <c r="C129" s="25"/>
      <c r="D129" s="31"/>
      <c r="E129" s="31"/>
      <c r="F129" s="26"/>
      <c r="G129" s="31">
        <f t="shared" si="1"/>
        <v>0</v>
      </c>
      <c r="H129" s="26"/>
    </row>
    <row r="130" spans="1:8" x14ac:dyDescent="0.3">
      <c r="A130" s="2">
        <v>10103</v>
      </c>
      <c r="B130" t="s">
        <v>121</v>
      </c>
      <c r="C130" s="2" t="s">
        <v>122</v>
      </c>
      <c r="D130" s="3">
        <v>950</v>
      </c>
      <c r="E130" s="3">
        <v>190</v>
      </c>
      <c r="F130" s="1">
        <v>45454</v>
      </c>
      <c r="G130" s="3">
        <v>0</v>
      </c>
    </row>
    <row r="131" spans="1:8" x14ac:dyDescent="0.3">
      <c r="A131" s="4"/>
      <c r="B131" s="5"/>
      <c r="C131" s="4"/>
      <c r="D131" s="6"/>
      <c r="E131" s="6">
        <v>760</v>
      </c>
      <c r="F131" s="7">
        <v>45649</v>
      </c>
      <c r="G131" s="6">
        <f>+D130-E130-E131</f>
        <v>0</v>
      </c>
      <c r="H131" s="5"/>
    </row>
    <row r="132" spans="1:8" x14ac:dyDescent="0.3">
      <c r="C132" s="2" t="s">
        <v>123</v>
      </c>
      <c r="D132" s="3">
        <v>190</v>
      </c>
      <c r="E132" s="50">
        <v>190</v>
      </c>
      <c r="F132" s="51">
        <v>45748</v>
      </c>
      <c r="G132" s="3">
        <f t="shared" si="1"/>
        <v>0</v>
      </c>
    </row>
    <row r="133" spans="1:8" x14ac:dyDescent="0.3">
      <c r="A133" s="4"/>
      <c r="B133" s="5"/>
      <c r="C133" s="4"/>
      <c r="D133" s="6"/>
      <c r="E133" s="6"/>
      <c r="F133" s="5"/>
      <c r="G133" s="6">
        <f t="shared" si="1"/>
        <v>0</v>
      </c>
      <c r="H133" s="5"/>
    </row>
    <row r="134" spans="1:8" x14ac:dyDescent="0.3">
      <c r="C134" s="2" t="s">
        <v>124</v>
      </c>
      <c r="D134" s="3">
        <v>247.13</v>
      </c>
      <c r="E134" s="3">
        <v>247.13</v>
      </c>
      <c r="F134" s="1">
        <v>45642</v>
      </c>
      <c r="G134" s="3">
        <f t="shared" si="1"/>
        <v>0</v>
      </c>
    </row>
    <row r="135" spans="1:8" ht="15" thickBot="1" x14ac:dyDescent="0.35">
      <c r="A135" s="25"/>
      <c r="B135" s="26"/>
      <c r="C135" s="25"/>
      <c r="D135" s="31"/>
      <c r="E135" s="31"/>
      <c r="F135" s="26"/>
      <c r="G135" s="31">
        <f t="shared" si="1"/>
        <v>0</v>
      </c>
      <c r="H135" s="26"/>
    </row>
    <row r="136" spans="1:8" x14ac:dyDescent="0.3">
      <c r="A136" s="2">
        <v>10105</v>
      </c>
      <c r="B136" t="s">
        <v>125</v>
      </c>
      <c r="C136" s="2" t="s">
        <v>126</v>
      </c>
      <c r="D136" s="3">
        <v>3820</v>
      </c>
      <c r="G136" s="3">
        <f t="shared" si="1"/>
        <v>3820</v>
      </c>
    </row>
    <row r="137" spans="1:8" ht="15" thickBot="1" x14ac:dyDescent="0.35">
      <c r="A137" s="25"/>
      <c r="B137" s="26"/>
      <c r="C137" s="25"/>
      <c r="D137" s="31"/>
      <c r="E137" s="31"/>
      <c r="F137" s="26"/>
      <c r="G137" s="31">
        <f t="shared" si="1"/>
        <v>0</v>
      </c>
      <c r="H137" s="26"/>
    </row>
    <row r="138" spans="1:8" x14ac:dyDescent="0.3">
      <c r="A138" s="2">
        <v>10109</v>
      </c>
      <c r="B138" t="s">
        <v>127</v>
      </c>
      <c r="C138" s="2" t="s">
        <v>128</v>
      </c>
      <c r="D138" s="3">
        <v>293.49</v>
      </c>
      <c r="G138" s="3">
        <f t="shared" si="1"/>
        <v>293.49</v>
      </c>
    </row>
    <row r="139" spans="1:8" ht="15" thickBot="1" x14ac:dyDescent="0.35">
      <c r="A139" s="25"/>
      <c r="B139" s="26"/>
      <c r="C139" s="25"/>
      <c r="D139" s="31"/>
      <c r="E139" s="31"/>
      <c r="F139" s="26"/>
      <c r="G139" s="31">
        <f t="shared" si="1"/>
        <v>0</v>
      </c>
      <c r="H139" s="26"/>
    </row>
    <row r="140" spans="1:8" x14ac:dyDescent="0.3">
      <c r="A140" s="2">
        <v>10121</v>
      </c>
      <c r="B140" t="s">
        <v>129</v>
      </c>
      <c r="C140" s="2" t="s">
        <v>130</v>
      </c>
      <c r="D140" s="3">
        <v>921</v>
      </c>
      <c r="E140" s="3">
        <v>184.2</v>
      </c>
      <c r="F140" s="1">
        <v>45468</v>
      </c>
      <c r="G140" s="3">
        <v>0</v>
      </c>
    </row>
    <row r="141" spans="1:8" x14ac:dyDescent="0.3">
      <c r="A141" s="4"/>
      <c r="B141" s="5"/>
      <c r="C141" s="4"/>
      <c r="D141" s="6"/>
      <c r="E141" s="6">
        <v>736.8</v>
      </c>
      <c r="F141" s="7">
        <v>45497</v>
      </c>
      <c r="G141" s="6">
        <f>+D140-E140-E141</f>
        <v>0</v>
      </c>
      <c r="H141" s="5"/>
    </row>
    <row r="142" spans="1:8" x14ac:dyDescent="0.3">
      <c r="C142" s="2" t="s">
        <v>131</v>
      </c>
      <c r="D142" s="3">
        <v>120</v>
      </c>
      <c r="E142" s="3">
        <v>120</v>
      </c>
      <c r="F142" s="1">
        <v>45524</v>
      </c>
      <c r="G142" s="3">
        <f t="shared" si="1"/>
        <v>0</v>
      </c>
    </row>
    <row r="143" spans="1:8" x14ac:dyDescent="0.3">
      <c r="E143" s="3">
        <v>-120</v>
      </c>
      <c r="F143" s="1">
        <v>45576</v>
      </c>
      <c r="G143" s="3">
        <f t="shared" si="1"/>
        <v>120</v>
      </c>
    </row>
    <row r="144" spans="1:8" ht="15" thickBot="1" x14ac:dyDescent="0.35">
      <c r="A144" s="25"/>
      <c r="B144" s="26"/>
      <c r="C144" s="25"/>
      <c r="D144" s="31"/>
      <c r="E144" s="31"/>
      <c r="F144" s="26"/>
      <c r="G144" s="31">
        <f t="shared" si="1"/>
        <v>0</v>
      </c>
      <c r="H144" s="26"/>
    </row>
    <row r="145" spans="1:11" x14ac:dyDescent="0.3">
      <c r="A145" s="2">
        <v>10136</v>
      </c>
      <c r="B145" t="s">
        <v>132</v>
      </c>
      <c r="C145" s="2" t="s">
        <v>115</v>
      </c>
      <c r="D145" s="3">
        <v>720</v>
      </c>
      <c r="G145" s="3">
        <f t="shared" si="1"/>
        <v>720</v>
      </c>
      <c r="I145" t="s">
        <v>226</v>
      </c>
      <c r="K145" t="s">
        <v>113</v>
      </c>
    </row>
    <row r="146" spans="1:11" ht="15" thickBot="1" x14ac:dyDescent="0.35">
      <c r="A146" s="25"/>
      <c r="B146" s="26"/>
      <c r="C146" s="25"/>
      <c r="D146" s="31"/>
      <c r="E146" s="31"/>
      <c r="F146" s="26"/>
      <c r="G146" s="31">
        <f t="shared" si="1"/>
        <v>0</v>
      </c>
      <c r="H146" s="26"/>
    </row>
    <row r="147" spans="1:11" x14ac:dyDescent="0.3">
      <c r="A147" s="40">
        <v>10138</v>
      </c>
      <c r="B147" s="41" t="s">
        <v>133</v>
      </c>
      <c r="C147" s="40" t="s">
        <v>134</v>
      </c>
      <c r="D147" s="42">
        <v>368</v>
      </c>
      <c r="E147" s="42">
        <v>368</v>
      </c>
      <c r="F147" s="43">
        <v>45496</v>
      </c>
      <c r="G147" s="42">
        <f t="shared" si="1"/>
        <v>0</v>
      </c>
      <c r="H147" s="41"/>
    </row>
    <row r="148" spans="1:11" x14ac:dyDescent="0.3">
      <c r="C148" s="2" t="s">
        <v>135</v>
      </c>
      <c r="D148" s="3">
        <v>452</v>
      </c>
      <c r="G148" s="3">
        <f t="shared" si="1"/>
        <v>452</v>
      </c>
    </row>
    <row r="149" spans="1:11" ht="15" thickBot="1" x14ac:dyDescent="0.35">
      <c r="A149" s="25"/>
      <c r="B149" s="26"/>
      <c r="C149" s="25"/>
      <c r="D149" s="31"/>
      <c r="E149" s="31"/>
      <c r="F149" s="26"/>
      <c r="G149" s="31">
        <f t="shared" si="1"/>
        <v>0</v>
      </c>
      <c r="H149" s="26"/>
    </row>
    <row r="150" spans="1:11" x14ac:dyDescent="0.3">
      <c r="A150" s="2">
        <v>10139</v>
      </c>
      <c r="B150" t="s">
        <v>136</v>
      </c>
      <c r="C150" s="2" t="s">
        <v>137</v>
      </c>
      <c r="D150" s="3">
        <v>428</v>
      </c>
      <c r="E150" s="3">
        <v>278</v>
      </c>
      <c r="F150" s="1">
        <v>45495</v>
      </c>
      <c r="G150" s="3">
        <f t="shared" si="1"/>
        <v>150</v>
      </c>
    </row>
    <row r="151" spans="1:11" ht="15" thickBot="1" x14ac:dyDescent="0.35">
      <c r="A151" s="25"/>
      <c r="B151" s="26"/>
      <c r="C151" s="25"/>
      <c r="D151" s="31"/>
      <c r="E151" s="31"/>
      <c r="F151" s="26"/>
      <c r="G151" s="31">
        <f t="shared" si="1"/>
        <v>0</v>
      </c>
      <c r="H151" s="26"/>
    </row>
    <row r="152" spans="1:11" x14ac:dyDescent="0.3">
      <c r="A152" s="2">
        <v>10142</v>
      </c>
      <c r="B152" t="s">
        <v>138</v>
      </c>
      <c r="C152" s="2" t="s">
        <v>140</v>
      </c>
      <c r="D152" s="3">
        <v>441</v>
      </c>
      <c r="G152" s="3">
        <f t="shared" si="1"/>
        <v>441</v>
      </c>
    </row>
    <row r="153" spans="1:11" ht="15" thickBot="1" x14ac:dyDescent="0.35">
      <c r="A153" s="25"/>
      <c r="B153" s="26"/>
      <c r="C153" s="25"/>
      <c r="D153" s="31"/>
      <c r="E153" s="31"/>
      <c r="F153" s="26"/>
      <c r="G153" s="31">
        <f t="shared" si="1"/>
        <v>0</v>
      </c>
      <c r="H153" s="26"/>
    </row>
    <row r="154" spans="1:11" x14ac:dyDescent="0.3">
      <c r="A154" s="2">
        <v>10143</v>
      </c>
      <c r="B154" t="s">
        <v>139</v>
      </c>
      <c r="C154" s="2" t="s">
        <v>141</v>
      </c>
      <c r="D154" s="3">
        <v>477</v>
      </c>
      <c r="E154" s="3">
        <v>477</v>
      </c>
      <c r="F154" s="1">
        <v>45624</v>
      </c>
      <c r="G154" s="3">
        <f t="shared" si="1"/>
        <v>0</v>
      </c>
    </row>
    <row r="155" spans="1:11" x14ac:dyDescent="0.3">
      <c r="E155" s="3">
        <v>477</v>
      </c>
      <c r="F155" s="1">
        <v>45643</v>
      </c>
      <c r="G155" s="3">
        <f t="shared" si="1"/>
        <v>-477</v>
      </c>
      <c r="I155" t="s">
        <v>142</v>
      </c>
    </row>
    <row r="156" spans="1:11" ht="15" thickBot="1" x14ac:dyDescent="0.35">
      <c r="A156" s="25"/>
      <c r="B156" s="26"/>
      <c r="C156" s="25"/>
      <c r="D156" s="31"/>
      <c r="E156" s="31"/>
      <c r="F156" s="26"/>
      <c r="G156" s="31">
        <f t="shared" si="1"/>
        <v>0</v>
      </c>
      <c r="H156" s="26"/>
    </row>
    <row r="157" spans="1:11" x14ac:dyDescent="0.3">
      <c r="A157" s="2">
        <v>10154</v>
      </c>
      <c r="B157" t="s">
        <v>143</v>
      </c>
      <c r="C157" s="2" t="s">
        <v>144</v>
      </c>
      <c r="D157" s="3">
        <v>9900</v>
      </c>
      <c r="E157" s="3">
        <v>3960</v>
      </c>
      <c r="F157" s="1">
        <v>45506</v>
      </c>
      <c r="G157" s="3">
        <v>0</v>
      </c>
    </row>
    <row r="158" spans="1:11" x14ac:dyDescent="0.3">
      <c r="E158" s="3">
        <v>4000</v>
      </c>
      <c r="F158" s="1">
        <v>45642</v>
      </c>
      <c r="G158" s="3">
        <v>0</v>
      </c>
    </row>
    <row r="159" spans="1:11" x14ac:dyDescent="0.3">
      <c r="A159" s="4"/>
      <c r="B159" s="5"/>
      <c r="C159" s="4"/>
      <c r="D159" s="6"/>
      <c r="E159" s="6">
        <v>1940</v>
      </c>
      <c r="F159" s="7">
        <v>45643</v>
      </c>
      <c r="G159" s="6">
        <f>+D157-E157-E159-E158</f>
        <v>0</v>
      </c>
      <c r="H159" s="5"/>
    </row>
    <row r="160" spans="1:11" x14ac:dyDescent="0.3">
      <c r="A160" s="12"/>
      <c r="B160" s="13"/>
      <c r="C160" s="12" t="s">
        <v>145</v>
      </c>
      <c r="D160" s="14"/>
      <c r="E160" s="54">
        <v>544</v>
      </c>
      <c r="F160" s="60">
        <v>45800</v>
      </c>
      <c r="G160" s="14">
        <f t="shared" ref="G160:G161" si="2">+D160-E160</f>
        <v>-544</v>
      </c>
      <c r="H160" s="13"/>
    </row>
    <row r="161" spans="1:9" x14ac:dyDescent="0.3">
      <c r="A161" s="12"/>
      <c r="B161" s="13"/>
      <c r="C161" s="12"/>
      <c r="D161" s="14"/>
      <c r="E161" s="14"/>
      <c r="F161" s="15"/>
      <c r="G161" s="14">
        <f t="shared" si="2"/>
        <v>0</v>
      </c>
      <c r="H161" s="13"/>
    </row>
    <row r="162" spans="1:9" x14ac:dyDescent="0.3">
      <c r="C162" s="2" t="s">
        <v>146</v>
      </c>
      <c r="D162" s="3">
        <v>90</v>
      </c>
      <c r="G162" s="14">
        <f>+D162-E162</f>
        <v>90</v>
      </c>
    </row>
    <row r="163" spans="1:9" ht="15" thickBot="1" x14ac:dyDescent="0.35">
      <c r="A163" s="25"/>
      <c r="B163" s="26"/>
      <c r="C163" s="25"/>
      <c r="D163" s="31"/>
      <c r="E163" s="31"/>
      <c r="F163" s="26"/>
      <c r="G163" s="31">
        <f t="shared" ref="G163:G199" si="3">+D163-E163</f>
        <v>0</v>
      </c>
      <c r="H163" s="26"/>
    </row>
    <row r="164" spans="1:9" x14ac:dyDescent="0.3">
      <c r="A164" s="2">
        <v>10161</v>
      </c>
      <c r="B164" t="s">
        <v>147</v>
      </c>
      <c r="C164" s="2" t="s">
        <v>148</v>
      </c>
      <c r="D164" s="3">
        <v>432</v>
      </c>
      <c r="G164" s="14">
        <f t="shared" si="3"/>
        <v>432</v>
      </c>
    </row>
    <row r="165" spans="1:9" ht="15" thickBot="1" x14ac:dyDescent="0.35">
      <c r="A165" s="25"/>
      <c r="B165" s="26"/>
      <c r="C165" s="25"/>
      <c r="D165" s="31"/>
      <c r="E165" s="31"/>
      <c r="F165" s="26"/>
      <c r="G165" s="31">
        <f t="shared" si="3"/>
        <v>0</v>
      </c>
      <c r="H165" s="26"/>
    </row>
    <row r="166" spans="1:9" x14ac:dyDescent="0.3">
      <c r="A166" s="2">
        <v>10163</v>
      </c>
      <c r="B166" t="s">
        <v>149</v>
      </c>
      <c r="C166" s="2" t="s">
        <v>150</v>
      </c>
      <c r="D166" s="3">
        <v>343.2</v>
      </c>
      <c r="G166" s="14">
        <f t="shared" si="3"/>
        <v>343.2</v>
      </c>
    </row>
    <row r="167" spans="1:9" ht="15" thickBot="1" x14ac:dyDescent="0.35">
      <c r="A167" s="25"/>
      <c r="B167" s="26"/>
      <c r="C167" s="25"/>
      <c r="D167" s="31"/>
      <c r="E167" s="31"/>
      <c r="F167" s="26"/>
      <c r="G167" s="31">
        <f t="shared" si="3"/>
        <v>0</v>
      </c>
      <c r="H167" s="26"/>
    </row>
    <row r="168" spans="1:9" x14ac:dyDescent="0.3">
      <c r="A168" s="2">
        <v>10166</v>
      </c>
      <c r="B168" t="s">
        <v>151</v>
      </c>
      <c r="C168" s="2" t="s">
        <v>152</v>
      </c>
      <c r="D168" s="3">
        <v>1726</v>
      </c>
      <c r="E168" s="50">
        <v>1726</v>
      </c>
      <c r="F168" s="51">
        <v>45660</v>
      </c>
      <c r="G168" s="14">
        <f t="shared" si="3"/>
        <v>0</v>
      </c>
    </row>
    <row r="169" spans="1:9" ht="15" thickBot="1" x14ac:dyDescent="0.35">
      <c r="A169" s="25"/>
      <c r="B169" s="26"/>
      <c r="C169" s="25"/>
      <c r="D169" s="31"/>
      <c r="E169" s="31"/>
      <c r="F169" s="26"/>
      <c r="G169" s="31">
        <f t="shared" si="3"/>
        <v>0</v>
      </c>
      <c r="H169" s="26"/>
    </row>
    <row r="170" spans="1:9" x14ac:dyDescent="0.3">
      <c r="A170" s="2">
        <v>10171</v>
      </c>
      <c r="B170" t="s">
        <v>153</v>
      </c>
      <c r="C170" s="2" t="s">
        <v>154</v>
      </c>
      <c r="D170" s="3">
        <v>205.86</v>
      </c>
      <c r="G170" s="14">
        <f t="shared" si="3"/>
        <v>205.86</v>
      </c>
      <c r="I170" t="s">
        <v>208</v>
      </c>
    </row>
    <row r="171" spans="1:9" ht="15" thickBot="1" x14ac:dyDescent="0.35">
      <c r="A171" s="25"/>
      <c r="B171" s="26"/>
      <c r="C171" s="25"/>
      <c r="D171" s="31"/>
      <c r="E171" s="31"/>
      <c r="F171" s="26"/>
      <c r="G171" s="31">
        <f t="shared" si="3"/>
        <v>0</v>
      </c>
      <c r="H171" s="26"/>
    </row>
    <row r="172" spans="1:9" x14ac:dyDescent="0.3">
      <c r="A172" s="2">
        <v>10173</v>
      </c>
      <c r="B172" t="s">
        <v>155</v>
      </c>
      <c r="C172" s="2" t="s">
        <v>156</v>
      </c>
      <c r="D172" s="3">
        <v>0</v>
      </c>
      <c r="E172" s="50">
        <v>421.6</v>
      </c>
      <c r="F172" s="51">
        <v>45790</v>
      </c>
      <c r="G172" s="54">
        <f t="shared" si="3"/>
        <v>-421.6</v>
      </c>
    </row>
    <row r="173" spans="1:9" x14ac:dyDescent="0.3">
      <c r="E173" s="50"/>
      <c r="F173" s="57"/>
      <c r="G173" s="54">
        <f t="shared" si="3"/>
        <v>0</v>
      </c>
    </row>
    <row r="174" spans="1:9" x14ac:dyDescent="0.3">
      <c r="C174" s="2" t="s">
        <v>157</v>
      </c>
      <c r="D174" s="3">
        <v>490</v>
      </c>
      <c r="E174" s="50">
        <v>490</v>
      </c>
      <c r="F174" s="51">
        <v>45790</v>
      </c>
      <c r="G174" s="54">
        <f t="shared" si="3"/>
        <v>0</v>
      </c>
    </row>
    <row r="175" spans="1:9" x14ac:dyDescent="0.3">
      <c r="G175" s="14">
        <f t="shared" si="3"/>
        <v>0</v>
      </c>
    </row>
    <row r="176" spans="1:9" x14ac:dyDescent="0.3">
      <c r="C176" s="2" t="s">
        <v>158</v>
      </c>
      <c r="D176" s="3">
        <v>300</v>
      </c>
      <c r="E176" s="50">
        <v>300</v>
      </c>
      <c r="F176" s="51">
        <v>45831</v>
      </c>
      <c r="G176" s="54">
        <f t="shared" si="3"/>
        <v>0</v>
      </c>
    </row>
    <row r="177" spans="1:8" ht="15" thickBot="1" x14ac:dyDescent="0.35">
      <c r="A177" s="25"/>
      <c r="B177" s="26"/>
      <c r="C177" s="25"/>
      <c r="D177" s="31"/>
      <c r="E177" s="31"/>
      <c r="F177" s="26"/>
      <c r="G177" s="31">
        <f t="shared" si="3"/>
        <v>0</v>
      </c>
      <c r="H177" s="26"/>
    </row>
    <row r="178" spans="1:8" x14ac:dyDescent="0.3">
      <c r="A178" s="2">
        <v>10174</v>
      </c>
      <c r="B178" t="s">
        <v>159</v>
      </c>
      <c r="C178" s="2" t="s">
        <v>160</v>
      </c>
      <c r="D178" s="3">
        <v>550</v>
      </c>
      <c r="G178" s="14">
        <f t="shared" si="3"/>
        <v>550</v>
      </c>
    </row>
    <row r="179" spans="1:8" ht="15" thickBot="1" x14ac:dyDescent="0.35">
      <c r="A179" s="25"/>
      <c r="B179" s="26"/>
      <c r="C179" s="25"/>
      <c r="D179" s="31"/>
      <c r="E179" s="31"/>
      <c r="F179" s="26"/>
      <c r="G179" s="31">
        <f t="shared" si="3"/>
        <v>0</v>
      </c>
      <c r="H179" s="26"/>
    </row>
    <row r="180" spans="1:8" x14ac:dyDescent="0.3">
      <c r="A180" s="2">
        <v>10177</v>
      </c>
      <c r="B180" t="s">
        <v>161</v>
      </c>
      <c r="C180" s="2" t="s">
        <v>162</v>
      </c>
      <c r="E180" s="3">
        <v>2055.1999999999998</v>
      </c>
      <c r="F180" s="1">
        <v>45628</v>
      </c>
      <c r="G180" s="14">
        <f t="shared" si="3"/>
        <v>-2055.1999999999998</v>
      </c>
    </row>
    <row r="181" spans="1:8" ht="15" thickBot="1" x14ac:dyDescent="0.35">
      <c r="A181" s="25"/>
      <c r="B181" s="26"/>
      <c r="C181" s="25"/>
      <c r="D181" s="31"/>
      <c r="E181" s="31"/>
      <c r="F181" s="26"/>
      <c r="G181" s="31">
        <f t="shared" si="3"/>
        <v>0</v>
      </c>
      <c r="H181" s="26"/>
    </row>
    <row r="182" spans="1:8" x14ac:dyDescent="0.3">
      <c r="A182" s="2">
        <v>10178</v>
      </c>
      <c r="B182" t="s">
        <v>163</v>
      </c>
      <c r="C182" s="2" t="s">
        <v>164</v>
      </c>
      <c r="D182" s="3">
        <v>1850</v>
      </c>
      <c r="E182" s="50">
        <v>370</v>
      </c>
      <c r="F182" s="51">
        <v>45566</v>
      </c>
      <c r="G182" s="54">
        <f t="shared" si="3"/>
        <v>1480</v>
      </c>
    </row>
    <row r="183" spans="1:8" ht="15" thickBot="1" x14ac:dyDescent="0.35">
      <c r="A183" s="25"/>
      <c r="B183" s="26"/>
      <c r="C183" s="25"/>
      <c r="D183" s="31"/>
      <c r="E183" s="52">
        <v>1480</v>
      </c>
      <c r="F183" s="53">
        <v>45677</v>
      </c>
      <c r="G183" s="52">
        <f t="shared" si="3"/>
        <v>-1480</v>
      </c>
      <c r="H183" s="26"/>
    </row>
    <row r="184" spans="1:8" x14ac:dyDescent="0.3">
      <c r="A184" s="2">
        <v>10204</v>
      </c>
      <c r="B184" t="s">
        <v>165</v>
      </c>
      <c r="C184" s="2" t="s">
        <v>166</v>
      </c>
      <c r="D184" s="3">
        <v>1120</v>
      </c>
      <c r="G184" s="14">
        <f t="shared" si="3"/>
        <v>1120</v>
      </c>
    </row>
    <row r="185" spans="1:8" ht="15" thickBot="1" x14ac:dyDescent="0.35">
      <c r="A185" s="25"/>
      <c r="B185" s="26"/>
      <c r="C185" s="25"/>
      <c r="D185" s="31"/>
      <c r="E185" s="31"/>
      <c r="F185" s="26"/>
      <c r="G185" s="31">
        <f t="shared" si="3"/>
        <v>0</v>
      </c>
      <c r="H185" s="26"/>
    </row>
    <row r="186" spans="1:8" x14ac:dyDescent="0.3">
      <c r="A186" s="2">
        <v>10213</v>
      </c>
      <c r="B186" t="s">
        <v>167</v>
      </c>
      <c r="C186" s="2" t="s">
        <v>168</v>
      </c>
      <c r="D186" s="3">
        <v>1291</v>
      </c>
      <c r="E186" s="50">
        <v>1291</v>
      </c>
      <c r="F186" s="51">
        <v>45660</v>
      </c>
      <c r="G186" s="14">
        <f t="shared" si="3"/>
        <v>0</v>
      </c>
    </row>
    <row r="187" spans="1:8" ht="15" thickBot="1" x14ac:dyDescent="0.35">
      <c r="A187" s="25"/>
      <c r="B187" s="26"/>
      <c r="C187" s="25"/>
      <c r="D187" s="31"/>
      <c r="E187" s="31"/>
      <c r="F187" s="26"/>
      <c r="G187" s="31">
        <f t="shared" si="3"/>
        <v>0</v>
      </c>
      <c r="H187" s="26"/>
    </row>
    <row r="188" spans="1:8" x14ac:dyDescent="0.3">
      <c r="A188" s="2">
        <v>10217</v>
      </c>
      <c r="B188" t="s">
        <v>169</v>
      </c>
      <c r="C188" s="2" t="s">
        <v>170</v>
      </c>
      <c r="D188" s="3">
        <v>1382</v>
      </c>
      <c r="E188" s="50">
        <v>1382</v>
      </c>
      <c r="F188" s="51">
        <v>45665</v>
      </c>
      <c r="G188" s="14">
        <f t="shared" si="3"/>
        <v>0</v>
      </c>
    </row>
    <row r="189" spans="1:8" ht="15" thickBot="1" x14ac:dyDescent="0.35">
      <c r="A189" s="25"/>
      <c r="B189" s="26"/>
      <c r="C189" s="25"/>
      <c r="D189" s="31"/>
      <c r="E189" s="31"/>
      <c r="F189" s="26"/>
      <c r="G189" s="31">
        <f t="shared" si="3"/>
        <v>0</v>
      </c>
      <c r="H189" s="26"/>
    </row>
    <row r="190" spans="1:8" x14ac:dyDescent="0.3">
      <c r="A190" s="2">
        <v>10220</v>
      </c>
      <c r="B190" t="s">
        <v>171</v>
      </c>
      <c r="C190" s="2" t="s">
        <v>172</v>
      </c>
      <c r="D190" s="3">
        <v>427</v>
      </c>
      <c r="E190" s="50">
        <v>427</v>
      </c>
      <c r="F190" s="51">
        <v>45663</v>
      </c>
      <c r="G190" s="14">
        <f t="shared" si="3"/>
        <v>0</v>
      </c>
    </row>
    <row r="191" spans="1:8" ht="15" thickBot="1" x14ac:dyDescent="0.35">
      <c r="A191" s="25"/>
      <c r="B191" s="26"/>
      <c r="C191" s="25"/>
      <c r="D191" s="31"/>
      <c r="E191" s="31"/>
      <c r="F191" s="26"/>
      <c r="G191" s="31">
        <f t="shared" si="3"/>
        <v>0</v>
      </c>
      <c r="H191" s="26"/>
    </row>
    <row r="192" spans="1:8" x14ac:dyDescent="0.3">
      <c r="A192" s="2">
        <v>10221</v>
      </c>
      <c r="B192" t="s">
        <v>173</v>
      </c>
      <c r="C192" s="2" t="s">
        <v>174</v>
      </c>
      <c r="D192" s="3">
        <v>815</v>
      </c>
      <c r="E192" s="50">
        <v>815</v>
      </c>
      <c r="F192" s="51">
        <v>45708</v>
      </c>
      <c r="G192" s="14">
        <f t="shared" si="3"/>
        <v>0</v>
      </c>
    </row>
    <row r="193" spans="1:13" ht="15" thickBot="1" x14ac:dyDescent="0.35">
      <c r="A193" s="25"/>
      <c r="B193" s="26"/>
      <c r="C193" s="25"/>
      <c r="D193" s="31"/>
      <c r="E193" s="31"/>
      <c r="F193" s="26"/>
      <c r="G193" s="31">
        <f t="shared" si="3"/>
        <v>0</v>
      </c>
      <c r="H193" s="26"/>
    </row>
    <row r="194" spans="1:13" x14ac:dyDescent="0.3">
      <c r="A194" s="2">
        <v>10222</v>
      </c>
      <c r="B194" t="s">
        <v>175</v>
      </c>
      <c r="C194" s="2" t="s">
        <v>176</v>
      </c>
      <c r="D194" s="3">
        <v>815</v>
      </c>
      <c r="E194" s="50">
        <v>815</v>
      </c>
      <c r="F194" s="51">
        <v>45705</v>
      </c>
      <c r="G194" s="14">
        <f t="shared" si="3"/>
        <v>0</v>
      </c>
    </row>
    <row r="195" spans="1:13" ht="15" thickBot="1" x14ac:dyDescent="0.35">
      <c r="A195" s="25"/>
      <c r="B195" s="26"/>
      <c r="C195" s="25"/>
      <c r="D195" s="31"/>
      <c r="E195" s="31"/>
      <c r="F195" s="26"/>
      <c r="G195" s="31">
        <f t="shared" si="3"/>
        <v>0</v>
      </c>
      <c r="H195" s="26"/>
    </row>
    <row r="196" spans="1:13" x14ac:dyDescent="0.3">
      <c r="A196" s="2">
        <v>10223</v>
      </c>
      <c r="B196" t="s">
        <v>177</v>
      </c>
      <c r="C196" s="2" t="s">
        <v>178</v>
      </c>
      <c r="D196" s="3">
        <v>1018</v>
      </c>
      <c r="E196" s="50">
        <v>1018</v>
      </c>
      <c r="F196" s="51">
        <v>45674</v>
      </c>
      <c r="G196" s="14">
        <f t="shared" si="3"/>
        <v>0</v>
      </c>
    </row>
    <row r="197" spans="1:13" ht="15" thickBot="1" x14ac:dyDescent="0.35">
      <c r="A197" s="25"/>
      <c r="B197" s="26"/>
      <c r="C197" s="25"/>
      <c r="D197" s="31"/>
      <c r="E197" s="31"/>
      <c r="F197" s="26"/>
      <c r="G197" s="31">
        <f t="shared" si="3"/>
        <v>0</v>
      </c>
      <c r="H197" s="26"/>
    </row>
    <row r="198" spans="1:13" x14ac:dyDescent="0.3">
      <c r="A198" s="2">
        <v>10224</v>
      </c>
      <c r="B198" t="s">
        <v>179</v>
      </c>
      <c r="C198" s="2" t="s">
        <v>180</v>
      </c>
      <c r="D198" s="3">
        <v>649</v>
      </c>
      <c r="E198" s="50">
        <v>649</v>
      </c>
      <c r="F198" s="51">
        <v>45663</v>
      </c>
      <c r="G198" s="14">
        <f t="shared" si="3"/>
        <v>0</v>
      </c>
    </row>
    <row r="199" spans="1:13" ht="15" thickBot="1" x14ac:dyDescent="0.35">
      <c r="A199" s="25"/>
      <c r="B199" s="26"/>
      <c r="C199" s="25"/>
      <c r="D199" s="31"/>
      <c r="E199" s="31"/>
      <c r="F199" s="26"/>
      <c r="G199" s="31">
        <f t="shared" si="3"/>
        <v>0</v>
      </c>
      <c r="H199" s="26"/>
    </row>
    <row r="200" spans="1:13" x14ac:dyDescent="0.3">
      <c r="G200" s="14">
        <f>SUM(G2:G199)</f>
        <v>88802.47</v>
      </c>
      <c r="I200" t="s">
        <v>181</v>
      </c>
    </row>
    <row r="201" spans="1:13" x14ac:dyDescent="0.3">
      <c r="B201" t="s">
        <v>183</v>
      </c>
      <c r="C201" s="2" t="s">
        <v>184</v>
      </c>
      <c r="E201" s="3">
        <v>2592</v>
      </c>
      <c r="F201" s="1">
        <v>45688</v>
      </c>
      <c r="G201" s="14">
        <f>+D201-E201</f>
        <v>-2592</v>
      </c>
    </row>
    <row r="202" spans="1:13" x14ac:dyDescent="0.3">
      <c r="B202" t="s">
        <v>185</v>
      </c>
      <c r="C202" s="2" t="s">
        <v>186</v>
      </c>
      <c r="E202" s="3">
        <v>2110</v>
      </c>
      <c r="F202" s="1">
        <v>45688</v>
      </c>
      <c r="G202" s="14">
        <f t="shared" ref="G202:G203" si="4">+D202-E202</f>
        <v>-2110</v>
      </c>
    </row>
    <row r="203" spans="1:13" x14ac:dyDescent="0.3">
      <c r="B203" t="s">
        <v>187</v>
      </c>
      <c r="C203" s="2" t="s">
        <v>188</v>
      </c>
      <c r="E203" s="3">
        <v>504</v>
      </c>
      <c r="F203" s="1">
        <v>45807</v>
      </c>
      <c r="G203" s="14">
        <f t="shared" si="4"/>
        <v>-504</v>
      </c>
    </row>
    <row r="204" spans="1:13" x14ac:dyDescent="0.3">
      <c r="B204" s="58" t="s">
        <v>189</v>
      </c>
      <c r="C204" s="47" t="s">
        <v>190</v>
      </c>
      <c r="D204" s="48"/>
      <c r="E204" s="48">
        <v>2169</v>
      </c>
      <c r="F204" s="49">
        <v>45747</v>
      </c>
      <c r="G204" s="59">
        <v>0</v>
      </c>
      <c r="H204" t="s">
        <v>162</v>
      </c>
    </row>
    <row r="205" spans="1:13" x14ac:dyDescent="0.3">
      <c r="B205" s="58"/>
      <c r="C205" s="47"/>
      <c r="D205" s="48"/>
      <c r="E205" s="48">
        <v>6507</v>
      </c>
      <c r="F205" s="49">
        <v>45828</v>
      </c>
      <c r="G205" s="59">
        <f>-E205-E204</f>
        <v>-8676</v>
      </c>
      <c r="H205" t="s">
        <v>162</v>
      </c>
    </row>
    <row r="206" spans="1:13" x14ac:dyDescent="0.3">
      <c r="B206" s="58" t="s">
        <v>191</v>
      </c>
      <c r="C206" s="47" t="s">
        <v>192</v>
      </c>
      <c r="D206" s="48"/>
      <c r="E206" s="48">
        <v>5000</v>
      </c>
      <c r="F206" s="49">
        <v>45839</v>
      </c>
      <c r="G206" s="48">
        <v>0</v>
      </c>
      <c r="H206" t="s">
        <v>162</v>
      </c>
    </row>
    <row r="207" spans="1:13" x14ac:dyDescent="0.3">
      <c r="B207" s="58"/>
      <c r="C207" s="47"/>
      <c r="D207" s="48"/>
      <c r="E207" s="48">
        <v>2200</v>
      </c>
      <c r="F207" s="49">
        <v>45839</v>
      </c>
      <c r="G207" s="48">
        <v>0</v>
      </c>
      <c r="H207" t="s">
        <v>162</v>
      </c>
    </row>
    <row r="208" spans="1:13" x14ac:dyDescent="0.3">
      <c r="B208" s="58"/>
      <c r="C208" s="47"/>
      <c r="D208" s="48"/>
      <c r="E208" s="48">
        <v>1700</v>
      </c>
      <c r="F208" s="49">
        <v>45839</v>
      </c>
      <c r="G208" s="48">
        <f>-E206-E207-E208</f>
        <v>-8900</v>
      </c>
      <c r="H208" t="s">
        <v>162</v>
      </c>
      <c r="M208" s="62" t="s">
        <v>224</v>
      </c>
    </row>
    <row r="209" spans="1:17" x14ac:dyDescent="0.3">
      <c r="B209" t="s">
        <v>193</v>
      </c>
      <c r="C209" s="2" t="s">
        <v>194</v>
      </c>
      <c r="E209" s="3">
        <v>5079.2</v>
      </c>
      <c r="F209" s="1">
        <v>45912</v>
      </c>
      <c r="G209" s="3">
        <f>+D209-E209</f>
        <v>-5079.2</v>
      </c>
    </row>
    <row r="210" spans="1:17" x14ac:dyDescent="0.3">
      <c r="B210" s="58" t="s">
        <v>195</v>
      </c>
      <c r="C210" s="47" t="s">
        <v>182</v>
      </c>
      <c r="D210" s="48"/>
      <c r="E210" s="48">
        <v>1620</v>
      </c>
      <c r="F210" s="49">
        <v>45670</v>
      </c>
      <c r="G210" s="48"/>
    </row>
    <row r="211" spans="1:17" x14ac:dyDescent="0.3">
      <c r="B211" s="58"/>
      <c r="C211" s="47"/>
      <c r="D211" s="48"/>
      <c r="E211" s="48">
        <v>4860</v>
      </c>
      <c r="F211" s="49">
        <v>45838</v>
      </c>
      <c r="G211" s="48">
        <f>-E210-E211</f>
        <v>-6480</v>
      </c>
    </row>
    <row r="212" spans="1:17" x14ac:dyDescent="0.3">
      <c r="B212" t="s">
        <v>196</v>
      </c>
      <c r="C212" s="2" t="s">
        <v>197</v>
      </c>
      <c r="E212" s="3">
        <v>976</v>
      </c>
      <c r="F212" s="1">
        <v>45729</v>
      </c>
      <c r="G212" s="3">
        <f t="shared" ref="G212:G224" si="5">+D212-E212</f>
        <v>-976</v>
      </c>
    </row>
    <row r="213" spans="1:17" x14ac:dyDescent="0.3">
      <c r="B213" t="s">
        <v>198</v>
      </c>
      <c r="C213" s="2" t="s">
        <v>199</v>
      </c>
      <c r="E213" s="3">
        <v>2905.6</v>
      </c>
      <c r="F213" s="1">
        <v>45742</v>
      </c>
      <c r="G213" s="3">
        <f t="shared" si="5"/>
        <v>-2905.6</v>
      </c>
    </row>
    <row r="214" spans="1:17" x14ac:dyDescent="0.3">
      <c r="B214" t="s">
        <v>200</v>
      </c>
      <c r="C214" s="2" t="s">
        <v>201</v>
      </c>
      <c r="E214" s="3">
        <v>435.2</v>
      </c>
      <c r="F214" s="1">
        <v>45723</v>
      </c>
      <c r="G214" s="3">
        <f t="shared" si="5"/>
        <v>-435.2</v>
      </c>
    </row>
    <row r="215" spans="1:17" x14ac:dyDescent="0.3">
      <c r="B215" t="s">
        <v>202</v>
      </c>
      <c r="C215" s="2" t="s">
        <v>203</v>
      </c>
      <c r="E215" s="3">
        <v>1160</v>
      </c>
      <c r="F215" s="1">
        <v>45807</v>
      </c>
      <c r="G215" s="3">
        <f t="shared" si="5"/>
        <v>-1160</v>
      </c>
    </row>
    <row r="216" spans="1:17" x14ac:dyDescent="0.3">
      <c r="B216" t="s">
        <v>204</v>
      </c>
      <c r="C216" s="2" t="s">
        <v>205</v>
      </c>
      <c r="E216" s="3">
        <v>6608</v>
      </c>
      <c r="F216" s="1">
        <v>45821</v>
      </c>
      <c r="G216" s="3">
        <f t="shared" si="5"/>
        <v>-6608</v>
      </c>
    </row>
    <row r="217" spans="1:17" x14ac:dyDescent="0.3">
      <c r="B217" s="58" t="s">
        <v>206</v>
      </c>
      <c r="C217" s="47" t="s">
        <v>207</v>
      </c>
      <c r="D217" s="48"/>
      <c r="E217" s="48">
        <v>770</v>
      </c>
      <c r="F217" s="49">
        <v>45659</v>
      </c>
      <c r="G217" s="48">
        <v>0</v>
      </c>
    </row>
    <row r="218" spans="1:17" x14ac:dyDescent="0.3">
      <c r="B218" s="58"/>
      <c r="C218" s="47"/>
      <c r="D218" s="48"/>
      <c r="E218" s="48">
        <v>3080</v>
      </c>
      <c r="F218" s="49">
        <v>45832</v>
      </c>
      <c r="G218" s="48">
        <f>-E218-E217</f>
        <v>-3850</v>
      </c>
    </row>
    <row r="219" spans="1:17" x14ac:dyDescent="0.3">
      <c r="B219" t="s">
        <v>209</v>
      </c>
      <c r="C219" s="2" t="s">
        <v>210</v>
      </c>
      <c r="E219" s="3">
        <v>2031.2</v>
      </c>
      <c r="F219" s="1">
        <v>45799</v>
      </c>
      <c r="G219" s="3">
        <f t="shared" si="5"/>
        <v>-2031.2</v>
      </c>
    </row>
    <row r="220" spans="1:17" x14ac:dyDescent="0.3">
      <c r="B220" t="s">
        <v>211</v>
      </c>
      <c r="C220" s="2" t="s">
        <v>212</v>
      </c>
      <c r="E220" s="3">
        <v>2776</v>
      </c>
      <c r="F220" s="1">
        <v>45807</v>
      </c>
      <c r="G220" s="3">
        <f t="shared" si="5"/>
        <v>-2776</v>
      </c>
    </row>
    <row r="221" spans="1:17" x14ac:dyDescent="0.3">
      <c r="B221" t="s">
        <v>213</v>
      </c>
      <c r="C221" s="2" t="s">
        <v>214</v>
      </c>
      <c r="E221" s="3">
        <v>1088</v>
      </c>
      <c r="F221" s="1">
        <v>45839</v>
      </c>
      <c r="G221" s="3">
        <f t="shared" si="5"/>
        <v>-1088</v>
      </c>
    </row>
    <row r="222" spans="1:17" x14ac:dyDescent="0.3">
      <c r="A222" s="65">
        <v>10170</v>
      </c>
      <c r="B222" s="66" t="s">
        <v>215</v>
      </c>
      <c r="C222" s="65" t="s">
        <v>216</v>
      </c>
      <c r="D222" s="67"/>
      <c r="E222" s="67">
        <v>255</v>
      </c>
      <c r="F222" s="68">
        <v>45684</v>
      </c>
      <c r="G222" s="67">
        <f t="shared" si="5"/>
        <v>-255</v>
      </c>
      <c r="H222" s="66" t="s">
        <v>225</v>
      </c>
    </row>
    <row r="223" spans="1:17" x14ac:dyDescent="0.3">
      <c r="A223" s="61">
        <v>10159</v>
      </c>
      <c r="B223" s="62" t="s">
        <v>217</v>
      </c>
      <c r="C223" s="61" t="s">
        <v>218</v>
      </c>
      <c r="D223" s="63"/>
      <c r="E223" s="63">
        <v>2760</v>
      </c>
      <c r="F223" s="64">
        <v>45700</v>
      </c>
      <c r="G223" s="63">
        <f t="shared" si="5"/>
        <v>-2760</v>
      </c>
      <c r="H223" s="62" t="s">
        <v>220</v>
      </c>
      <c r="I223" s="63">
        <v>8280</v>
      </c>
      <c r="J223" s="62" t="s">
        <v>221</v>
      </c>
      <c r="K223" s="64">
        <v>45809</v>
      </c>
      <c r="L223" s="62" t="s">
        <v>222</v>
      </c>
      <c r="M223" s="62"/>
      <c r="N223" s="62" t="s">
        <v>223</v>
      </c>
      <c r="O223" s="62"/>
      <c r="P223" s="62"/>
      <c r="Q223" s="62"/>
    </row>
    <row r="224" spans="1:17" x14ac:dyDescent="0.3">
      <c r="B224" t="s">
        <v>219</v>
      </c>
      <c r="C224" s="2" t="s">
        <v>218</v>
      </c>
      <c r="E224" s="3">
        <v>8280</v>
      </c>
      <c r="F224" s="1">
        <v>45810</v>
      </c>
      <c r="G224" s="3">
        <f t="shared" si="5"/>
        <v>-8280</v>
      </c>
    </row>
  </sheetData>
  <pageMargins left="0.7" right="0.7" top="0.78740157499999996" bottom="0.78740157499999996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Eigentümer</dc:creator>
  <cp:lastModifiedBy>Eigentümer</cp:lastModifiedBy>
  <dcterms:created xsi:type="dcterms:W3CDTF">2026-09-18T10:28:47Z</dcterms:created>
  <dcterms:modified xsi:type="dcterms:W3CDTF">2026-09-18T16:00:32Z</dcterms:modified>
</cp:coreProperties>
</file>