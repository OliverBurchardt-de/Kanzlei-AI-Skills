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AMSO\Dokumente\"/>
    </mc:Choice>
  </mc:AlternateContent>
  <bookViews>
    <workbookView xWindow="0" yWindow="0" windowWidth="23040" windowHeight="9396"/>
  </bookViews>
  <sheets>
    <sheet name="2024" sheetId="1" r:id="rId1"/>
    <sheet name="High School 2024 geb." sheetId="5" r:id="rId2"/>
    <sheet name="Griechenlandrechnungen 2024 geb" sheetId="2" r:id="rId3"/>
    <sheet name="Rechnungen 2023" sheetId="3" r:id="rId4"/>
    <sheet name="Stornorechnungen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1" i="1" l="1"/>
  <c r="J56" i="2" l="1"/>
  <c r="S7" i="1" l="1"/>
  <c r="M272" i="1"/>
  <c r="S176" i="1" l="1"/>
  <c r="Q247" i="1" l="1"/>
  <c r="I247" i="1"/>
  <c r="Q168" i="1" l="1"/>
  <c r="Q9" i="5" l="1"/>
  <c r="I9" i="5"/>
  <c r="S5" i="5"/>
  <c r="I187" i="1" l="1"/>
  <c r="S11" i="1" l="1"/>
  <c r="Q77" i="1" l="1"/>
  <c r="I77" i="1"/>
  <c r="Q95" i="1" l="1"/>
  <c r="J95" i="1"/>
  <c r="I95" i="1"/>
  <c r="M24" i="2" l="1"/>
</calcChain>
</file>

<file path=xl/sharedStrings.xml><?xml version="1.0" encoding="utf-8"?>
<sst xmlns="http://schemas.openxmlformats.org/spreadsheetml/2006/main" count="2109" uniqueCount="700">
  <si>
    <t>Buchungen</t>
  </si>
  <si>
    <t>Datum</t>
  </si>
  <si>
    <t>Anzahlung</t>
  </si>
  <si>
    <t>bis Datum</t>
  </si>
  <si>
    <t>ZA Erinnerung</t>
  </si>
  <si>
    <t>Name</t>
  </si>
  <si>
    <t>Ortner</t>
  </si>
  <si>
    <t>RE-Nr.</t>
  </si>
  <si>
    <t>ZE Schreiben</t>
  </si>
  <si>
    <t>Start Datum</t>
  </si>
  <si>
    <t>Kunzmann</t>
  </si>
  <si>
    <t>Sprachkurs Costa Rica</t>
  </si>
  <si>
    <t>Freiwilligen Arbeit Costa Rica</t>
  </si>
  <si>
    <t>Erdmenger/Terhorst</t>
  </si>
  <si>
    <t>Özdemir</t>
  </si>
  <si>
    <t>Volenteer World</t>
  </si>
  <si>
    <t xml:space="preserve">Buchungsgrund/Bestätitung </t>
  </si>
  <si>
    <t>Freiwilligen Griechenl. Dog</t>
  </si>
  <si>
    <t>Vorort Zahlung</t>
  </si>
  <si>
    <t>Richter</t>
  </si>
  <si>
    <t>High School Costa Rica</t>
  </si>
  <si>
    <t>Ende Juli 2024</t>
  </si>
  <si>
    <t>Kirmse</t>
  </si>
  <si>
    <t>Rechnungsbetrag</t>
  </si>
  <si>
    <t>ZA Eingang</t>
  </si>
  <si>
    <t>Becker</t>
  </si>
  <si>
    <t>Pflüger</t>
  </si>
  <si>
    <t>Ziegler</t>
  </si>
  <si>
    <t>Freiw. Arbeit Big Cat Südafrika</t>
  </si>
  <si>
    <t>Tourismus/Pädagogik Pratikum Costa Rica</t>
  </si>
  <si>
    <t>Werner</t>
  </si>
  <si>
    <t>Freiwl. Arbeit Costa Rica / Guatemala</t>
  </si>
  <si>
    <t>Burghart</t>
  </si>
  <si>
    <t>Journalismus Praktikum Costa Rica</t>
  </si>
  <si>
    <t>Damer</t>
  </si>
  <si>
    <t>keine</t>
  </si>
  <si>
    <t>Mengel</t>
  </si>
  <si>
    <t>Freiw. Arbeit Straßenhunde Griechenland</t>
  </si>
  <si>
    <t>Igel</t>
  </si>
  <si>
    <t>Schweighardt</t>
  </si>
  <si>
    <t>Freiw. Arbeit Nationalpark Costa Rica</t>
  </si>
  <si>
    <t>Schmitz</t>
  </si>
  <si>
    <t>Freiw. Arbeit Support Dog Shelter</t>
  </si>
  <si>
    <t>Grallert</t>
  </si>
  <si>
    <t>Freiw. Unterkunft</t>
  </si>
  <si>
    <t>Heiniger</t>
  </si>
  <si>
    <t>Freiw.Arbeit Fußballprojekt Costa Rica</t>
  </si>
  <si>
    <t>Baladier</t>
  </si>
  <si>
    <t>Freiw. Arbeit Dog Shelter</t>
  </si>
  <si>
    <t>Tjin</t>
  </si>
  <si>
    <t>Freiw. Arbeit Soccer Assistant Tansania</t>
  </si>
  <si>
    <t>Windmüller</t>
  </si>
  <si>
    <t>Freiw. Arbeit Costa Rica</t>
  </si>
  <si>
    <t>Blumenberg</t>
  </si>
  <si>
    <t>Freiw. Arbeit Wildlife Costa Rica</t>
  </si>
  <si>
    <t>Sheridan</t>
  </si>
  <si>
    <t>Freiw. Arbeit Dog Shelter Griechenland</t>
  </si>
  <si>
    <t>Hütten</t>
  </si>
  <si>
    <t>Freiw. Arbeit Tansania Womens Empowerment</t>
  </si>
  <si>
    <t>Witt</t>
  </si>
  <si>
    <t>Oberthür</t>
  </si>
  <si>
    <t>Freiw. Arbeit Hundeklinik Sri Lanka</t>
  </si>
  <si>
    <t>Nützi</t>
  </si>
  <si>
    <t>Sozialarbeit Kinder Thailand</t>
  </si>
  <si>
    <t>Heinl</t>
  </si>
  <si>
    <t>Bielefeld</t>
  </si>
  <si>
    <t>Rette Meeresschildkröten in Costa Rica/Elefantenprojekt in Thailand</t>
  </si>
  <si>
    <t>Valter Abos</t>
  </si>
  <si>
    <t>Badendick</t>
  </si>
  <si>
    <t>Celebi</t>
  </si>
  <si>
    <t>Gritsch</t>
  </si>
  <si>
    <t xml:space="preserve">Support Greek Dog Shelter </t>
  </si>
  <si>
    <t>Bentele</t>
  </si>
  <si>
    <t>Kreßmann</t>
  </si>
  <si>
    <t>Tierheim Porjekt Straßenhunde in Griechenland</t>
  </si>
  <si>
    <t>Tierheim Projekt Straßenhunde Griechenland</t>
  </si>
  <si>
    <t>Lloyd</t>
  </si>
  <si>
    <t>Volunteer World</t>
  </si>
  <si>
    <t>Support Dog Shelter Greece</t>
  </si>
  <si>
    <t>Heepe Horstmann</t>
  </si>
  <si>
    <t>Barz</t>
  </si>
  <si>
    <t>Wildlifeprojekt in Costa Rica</t>
  </si>
  <si>
    <t>Feldt</t>
  </si>
  <si>
    <t>Soccer Assistant Coach at the Beach, Tanzania,</t>
  </si>
  <si>
    <t>Buchungsbestätigung da!</t>
  </si>
  <si>
    <t>warte auf Bestätigung</t>
  </si>
  <si>
    <t>Heer</t>
  </si>
  <si>
    <t>Dschanesaschwili</t>
  </si>
  <si>
    <t>Teach English Skills to local student at the beach</t>
  </si>
  <si>
    <t>Huber</t>
  </si>
  <si>
    <t>Sea Turtle Conservation &amp; Environmental ProtectionCosta Rica,</t>
  </si>
  <si>
    <t>zum Felde</t>
  </si>
  <si>
    <t>Illgas</t>
  </si>
  <si>
    <t>Pre and Primary School Assistant,Tanzania</t>
  </si>
  <si>
    <t>Krause</t>
  </si>
  <si>
    <t xml:space="preserve">Work in a National Park &amp; Clean Beaches, Costa Rica </t>
  </si>
  <si>
    <t xml:space="preserve">Support a Cat and Dog Shelter, Costa Rica </t>
  </si>
  <si>
    <t>Erhardt</t>
  </si>
  <si>
    <t>8 Wochen Fußballprojekt in Costa Rica</t>
  </si>
  <si>
    <t>Garcia Lopez</t>
  </si>
  <si>
    <t>Stornorechnung</t>
  </si>
  <si>
    <t>23.02.204</t>
  </si>
  <si>
    <t>Cancellation invoice no. 18258</t>
  </si>
  <si>
    <t>Mitarbeiter</t>
  </si>
  <si>
    <t>Benz Annina</t>
  </si>
  <si>
    <t>Huydts Clara</t>
  </si>
  <si>
    <t>Denise</t>
  </si>
  <si>
    <t>Ines</t>
  </si>
  <si>
    <t>McCulloch Hannah</t>
  </si>
  <si>
    <t>Jonas</t>
  </si>
  <si>
    <t>Kruse Phillip</t>
  </si>
  <si>
    <t>11 Wochen Schütze Nationalpark in Costa Rica</t>
  </si>
  <si>
    <t>wurde zuviel gezahtl</t>
  </si>
  <si>
    <t>Rechnung 2023-393 geändert und an Angela zur Kontrolle</t>
  </si>
  <si>
    <t>Dankemail raus</t>
  </si>
  <si>
    <t>Mail an Ines raus</t>
  </si>
  <si>
    <t>dankemail raus</t>
  </si>
  <si>
    <t>Info Mail an Ines raus</t>
  </si>
  <si>
    <t>Danke Mail raus</t>
  </si>
  <si>
    <t>Greta Sara Alef</t>
  </si>
  <si>
    <t>Angela</t>
  </si>
  <si>
    <t>Clara Huydts</t>
  </si>
  <si>
    <t>4 Wochen Wildlifeprojekt in Guatemala</t>
  </si>
  <si>
    <t>Katharina Ortner</t>
  </si>
  <si>
    <t>1 Wochen Freiwilligenarbeit ab dem 24.03.2024</t>
  </si>
  <si>
    <t>Thea Steiner</t>
  </si>
  <si>
    <t>Leon Schyma / Haasis</t>
  </si>
  <si>
    <t>Lauri Schuldt</t>
  </si>
  <si>
    <t>16 Wochen Fußballprojekt Costa Rica</t>
  </si>
  <si>
    <t>Robert Schulz Camacho</t>
  </si>
  <si>
    <t>mit Buchhaltung abgeglichen</t>
  </si>
  <si>
    <t>Stornorechnung zu RE 2023-363 vom 07.09.2023</t>
  </si>
  <si>
    <t>63,50 Dollar</t>
  </si>
  <si>
    <t>Devin Searcy</t>
  </si>
  <si>
    <t>Zoe Bérenger</t>
  </si>
  <si>
    <t>3 Wochen Support Dog Shelter, Greece,</t>
  </si>
  <si>
    <t>WhatsApp an Ines raus</t>
  </si>
  <si>
    <t>Callum Kay</t>
  </si>
  <si>
    <t>Kean Reynders</t>
  </si>
  <si>
    <t>Tali Junic Kunz</t>
  </si>
  <si>
    <t>dankesmail raus</t>
  </si>
  <si>
    <t>Marion Iliou</t>
  </si>
  <si>
    <t>Bentele Stornorechnung</t>
  </si>
  <si>
    <t>zu Rechnung nr. 139</t>
  </si>
  <si>
    <t>90% der gesamt Kosten Differenz (Verlust 99,00€)</t>
  </si>
  <si>
    <t>Zahlungserinnerung raus 20.03.2024</t>
  </si>
  <si>
    <t>Vanek / Scherer</t>
  </si>
  <si>
    <t>noch offen</t>
  </si>
  <si>
    <t>2023-405</t>
  </si>
  <si>
    <t>gezahlt</t>
  </si>
  <si>
    <t>Cancellation invoice no. 18258 zu RE 2024-150</t>
  </si>
  <si>
    <t>Stornorechnung zu Rechnung nr. 139</t>
  </si>
  <si>
    <t>Amma Van Hulle</t>
  </si>
  <si>
    <t>Stornorechnung zu Re 2023-363</t>
  </si>
  <si>
    <t>63,50$</t>
  </si>
  <si>
    <t xml:space="preserve">Bentele </t>
  </si>
  <si>
    <t>Bezeichnung</t>
  </si>
  <si>
    <t>zu welcher Rechnung und Begründung</t>
  </si>
  <si>
    <t>Nummer</t>
  </si>
  <si>
    <t>Betrag</t>
  </si>
  <si>
    <t>Annalena Baumgärtner</t>
  </si>
  <si>
    <t xml:space="preserve">4 Wochen, Tierheim Projekt Straßenhunde Griechenland </t>
  </si>
  <si>
    <t>Vanessa Failer</t>
  </si>
  <si>
    <t>Luana de Castro Pereira Barretto</t>
  </si>
  <si>
    <t>Programm: ½ Schuljahr Privatschule High School Costa Rica (classic)</t>
  </si>
  <si>
    <t>Anna Herzog</t>
  </si>
  <si>
    <t>: ganzes Schuljahr Bilinguale Privatschule High School Costa Rica (select), Start Ende Juli 2024</t>
  </si>
  <si>
    <t>Jara Maier</t>
  </si>
  <si>
    <t>Programm: 1 Jahr Privatschule High School Costa Rica (select), Start Ende Juli 2024</t>
  </si>
  <si>
    <t>Rislane Bensliman</t>
  </si>
  <si>
    <t>Stornorechnung zu RE 2023-315</t>
  </si>
  <si>
    <t>Reiseabbruch, wegen Tod der Oma, mit  40% Rückerstattung</t>
  </si>
  <si>
    <t>Carla Frey</t>
  </si>
  <si>
    <t>Programm: ganzes Schuljahr Privatschule High School Costa Rica (classic), Start Ende Juli 2024</t>
  </si>
  <si>
    <t>Veronica Sala</t>
  </si>
  <si>
    <t>Alina Celine Hütköper</t>
  </si>
  <si>
    <t>mehrere Projekte in Costa Rica</t>
  </si>
  <si>
    <t>Amie Rohacek</t>
  </si>
  <si>
    <t>Baptiste Cussac</t>
  </si>
  <si>
    <t>English Teacher different Levels in Center, Indonesien</t>
  </si>
  <si>
    <t>Daphnée Roussel</t>
  </si>
  <si>
    <t>Komlan</t>
  </si>
  <si>
    <r>
      <t>Alexia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31313"/>
        <rFont val="Calibri"/>
        <family val="2"/>
        <scheme val="minor"/>
      </rPr>
      <t>Manganas-Granger</t>
    </r>
  </si>
  <si>
    <t>Alis Sherrington</t>
  </si>
  <si>
    <t>2023-382</t>
  </si>
  <si>
    <t>Milena Brogly</t>
  </si>
  <si>
    <t xml:space="preserve">Tierheim Projekt Straßenhunde Griechenland </t>
  </si>
  <si>
    <t>Vivien Ullrich</t>
  </si>
  <si>
    <t>Bildungsprojekt Vor- und Grundschulen in Tansania/Frauenprojekt auf Sansibar</t>
  </si>
  <si>
    <t>Annina Benz</t>
  </si>
  <si>
    <t>2 Extratrage</t>
  </si>
  <si>
    <t>Celine Reintgen</t>
  </si>
  <si>
    <t xml:space="preserve">2 Wochen, Tierheim Projekt Straßenhunde Griechenland </t>
  </si>
  <si>
    <t>2 x 3 Extra Tage in Griechenland</t>
  </si>
  <si>
    <t>Gesamt</t>
  </si>
  <si>
    <t>Albane Pessemesse</t>
  </si>
  <si>
    <t>4 semaines, 1 volontaire, Travail social avec les entants en Thailande, Début: 13.07.2024</t>
  </si>
  <si>
    <t>3 Wochen Frauenprojekt in Sansibar</t>
  </si>
  <si>
    <t>Dorothea Luttmann</t>
  </si>
  <si>
    <t>2 Wochen Sprachkurs in Englisch in Kapstadt</t>
  </si>
  <si>
    <t>11 Wochen Pinguin- und Seevögelprojekt in Südafrika</t>
  </si>
  <si>
    <t>4 Wochen, 6 Tage, 1 Freiwilliger; Soccer Assistant Coach at the Beach</t>
  </si>
  <si>
    <t>Carmen Kemmer</t>
  </si>
  <si>
    <t>2 Wochen, 0 Tage, 1 Freiwilliger; Sea Turtle Conservation &amp; Environmental Protection in Costea Rica</t>
  </si>
  <si>
    <t>Rocio Ascorve</t>
  </si>
  <si>
    <t>2 weeks, 0 days  , 2 volunteering: Support Dog Shelter</t>
  </si>
  <si>
    <t>Leonie Becker</t>
  </si>
  <si>
    <t>Eva Friedrich</t>
  </si>
  <si>
    <t>Paulina Weyh</t>
  </si>
  <si>
    <t>4 Wochen Sozialarbeit mit Kinder in Südafrika</t>
  </si>
  <si>
    <t>Rabea Farah Prause</t>
  </si>
  <si>
    <t>Vanek Robert</t>
  </si>
  <si>
    <t>Stefan Fischer</t>
  </si>
  <si>
    <t>Lisa Beitlich</t>
  </si>
  <si>
    <t>Sebastien D'HERVEZ</t>
  </si>
  <si>
    <r>
      <t>10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jours , 1 volontaire, </t>
    </r>
    <r>
      <rPr>
        <b/>
        <sz val="11"/>
        <color theme="1"/>
        <rFont val="Calibri"/>
        <family val="2"/>
        <scheme val="minor"/>
      </rPr>
      <t>Support Dog Shelter</t>
    </r>
  </si>
  <si>
    <t>Jamie Cole</t>
  </si>
  <si>
    <t>4 weeks, 3 days, 2 volunteers, volunteering: Support a Cat and Dog Shelter</t>
  </si>
  <si>
    <t>Lea Wette</t>
  </si>
  <si>
    <t>12 Wochen Straßenhunde Projekt in Costa Rica</t>
  </si>
  <si>
    <r>
      <t>Eglantine</t>
    </r>
    <r>
      <rPr>
        <sz val="11"/>
        <color theme="1"/>
        <rFont val="Calibri"/>
        <family val="2"/>
        <scheme val="minor"/>
      </rPr>
      <t xml:space="preserve"> Mandron</t>
    </r>
  </si>
  <si>
    <r>
      <t>3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semaines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jours , 1 </t>
    </r>
    <r>
      <rPr>
        <b/>
        <sz val="11"/>
        <color theme="1"/>
        <rFont val="Calibri"/>
        <family val="2"/>
        <scheme val="minor"/>
      </rPr>
      <t>volontaire</t>
    </r>
    <r>
      <rPr>
        <sz val="11"/>
        <color theme="1"/>
        <rFont val="Calibri"/>
        <family val="2"/>
        <scheme val="minor"/>
      </rPr>
      <t>, Support Dog Shelter</t>
    </r>
    <r>
      <rPr>
        <u/>
        <sz val="11"/>
        <color rgb="FF0000FF"/>
        <rFont val="Calibri"/>
        <family val="2"/>
        <scheme val="minor"/>
      </rPr>
      <t xml:space="preserve">, </t>
    </r>
  </si>
  <si>
    <r>
      <t>Margot</t>
    </r>
    <r>
      <rPr>
        <sz val="11"/>
        <color theme="1"/>
        <rFont val="Calibri"/>
        <family val="2"/>
        <scheme val="minor"/>
      </rPr>
      <t xml:space="preserve"> DESBOIS</t>
    </r>
  </si>
  <si>
    <r>
      <t>8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jours , 1 volontaire, Support Dog Shelter</t>
    </r>
    <r>
      <rPr>
        <u/>
        <sz val="11"/>
        <color rgb="FF0000FF"/>
        <rFont val="Calibri"/>
        <family val="2"/>
        <scheme val="minor"/>
      </rPr>
      <t xml:space="preserve">, </t>
    </r>
  </si>
  <si>
    <t>Louise Rosenstein</t>
  </si>
  <si>
    <t>3 Wochen, 4 Tage, 1 Freiwilliger Support Dog Shelter</t>
  </si>
  <si>
    <t>Sara Scholtz</t>
  </si>
  <si>
    <t>Ende Juli 2025</t>
  </si>
  <si>
    <t>Lucie Cesbron</t>
  </si>
  <si>
    <r>
      <t>3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jours , 1 volontaire, Support Dog Shelter</t>
    </r>
    <r>
      <rPr>
        <u/>
        <sz val="11"/>
        <color rgb="FF0000FF"/>
        <rFont val="Calibri"/>
        <family val="2"/>
        <scheme val="minor"/>
      </rPr>
      <t>,</t>
    </r>
    <r>
      <rPr>
        <b/>
        <u/>
        <sz val="11"/>
        <color rgb="FF0000FF"/>
        <rFont val="Calibri"/>
        <family val="2"/>
        <scheme val="minor"/>
      </rPr>
      <t xml:space="preserve"> </t>
    </r>
  </si>
  <si>
    <t>Stornorechnung zu Re 2024-185</t>
  </si>
  <si>
    <t>Kulanz, da 4 Wochen Aufenthalt</t>
  </si>
  <si>
    <t>267,40 von Perez Mitreisende nochmals gezahlt, Geld muss zurück</t>
  </si>
  <si>
    <t xml:space="preserve">Mejreme Hasi </t>
  </si>
  <si>
    <t>2023-276</t>
  </si>
  <si>
    <t>gez. Am 25.10.2023</t>
  </si>
  <si>
    <t>Ze raus am 11.05.2024</t>
  </si>
  <si>
    <t>hat 38,00€zu viel gezahlt, evlt. Zusätzlicher Tag?</t>
  </si>
  <si>
    <t>ZE raus 11.05.2024</t>
  </si>
  <si>
    <t>2 Woche Wild Life Projekt + 2 Wochen Beach Cleaning, Costa Rica</t>
  </si>
  <si>
    <t>Selina Linz</t>
  </si>
  <si>
    <t>Charlotte Krimse</t>
  </si>
  <si>
    <t xml:space="preserve">3 Wochen Wildlife Projekt Costa Rica, </t>
  </si>
  <si>
    <t>Buchungsgrund/Bestätitung</t>
  </si>
  <si>
    <t>1/18/2024</t>
  </si>
  <si>
    <t>3/15/2024</t>
  </si>
  <si>
    <t>3/13/2024</t>
  </si>
  <si>
    <t>3/14/2024</t>
  </si>
  <si>
    <t>3/18/2024</t>
  </si>
  <si>
    <t>Freiw. Arbeit / Tierarztpraktikum Costa Rica</t>
  </si>
  <si>
    <t>$2.268,00</t>
  </si>
  <si>
    <t>2/23/2024</t>
  </si>
  <si>
    <t>$1.327,00</t>
  </si>
  <si>
    <t>12/23/2024</t>
  </si>
  <si>
    <t>Freiwilligen Arbeit Wildlife Projekt Costa Rica</t>
  </si>
  <si>
    <t>Straßenhundeprojekt in Costa Rica</t>
  </si>
  <si>
    <t>Support Greek Dog Shelter</t>
  </si>
  <si>
    <t>Rette Meeresschildkröten in Griechenland</t>
  </si>
  <si>
    <t>1/31/2024</t>
  </si>
  <si>
    <r>
      <t>Tourismuspraktikum in Costa</t>
    </r>
    <r>
      <rPr>
        <sz val="11"/>
        <color rgb="FF000000"/>
        <rFont val="Arial"/>
        <family val="2"/>
      </rPr>
      <t xml:space="preserve"> </t>
    </r>
    <r>
      <rPr>
        <sz val="11"/>
        <color rgb="FF636363"/>
        <rFont val="Calibri"/>
        <family val="2"/>
        <scheme val="minor"/>
      </rPr>
      <t>Rica</t>
    </r>
    <r>
      <rPr>
        <sz val="11"/>
        <color rgb="FF636363"/>
        <rFont val="Arial"/>
        <family val="2"/>
      </rPr>
      <t xml:space="preserve"> </t>
    </r>
  </si>
  <si>
    <t>Support a Cat and Dog Shelter,</t>
  </si>
  <si>
    <t>6/25/2024</t>
  </si>
  <si>
    <t>Steimel</t>
  </si>
  <si>
    <t>Van Hulle</t>
  </si>
  <si>
    <t>3 Monate Bilinguale Privatschule High School Costa Rica</t>
  </si>
  <si>
    <t>2 weeks, 1 volunteer, Supporters of the Jaguar Rescue Center , Ecuador</t>
  </si>
  <si>
    <t>8 weeks, 5 days , volunteering: Soccer assistant coach on the beach</t>
  </si>
  <si>
    <t>2 weeks, 1 day, 1 volunteer; Sea Turtle Conservation &amp; Environmental Protection; Costa Rica</t>
  </si>
  <si>
    <t>4 Wochen, Tierheim Projekt Straßenhunde Griechenland</t>
  </si>
  <si>
    <t>3/28/2024</t>
  </si>
  <si>
    <t>4 Wochen Straßenhundeprojekt in Costa Rica</t>
  </si>
  <si>
    <r>
      <t xml:space="preserve">8 Wochen + 4 Tage , 1 Freiwilliger, </t>
    </r>
    <r>
      <rPr>
        <u/>
        <sz val="11"/>
        <color theme="1"/>
        <rFont val="Calibri"/>
        <family val="2"/>
        <scheme val="minor"/>
      </rPr>
      <t xml:space="preserve">English Tutor at the beach, </t>
    </r>
  </si>
  <si>
    <r>
      <t>Alexia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131313"/>
        <rFont val="Calibri"/>
        <family val="2"/>
        <scheme val="minor"/>
      </rPr>
      <t>Manganas-Granger</t>
    </r>
  </si>
  <si>
    <t>2 Wochen, Tierheim Projekt Straßenhunde Griechenland</t>
  </si>
  <si>
    <t>Kenzo Christen</t>
  </si>
  <si>
    <t>2 weeks, 0 days , 2 volunteering: Support Dog Shelter</t>
  </si>
  <si>
    <t>2 Wochen, 2 Tage, 2 Freiwillige, Wildlife Projekt</t>
  </si>
  <si>
    <t>4 Wochen, 2 Tage, 1 Freiwilliger, Soccer Assitant Coach at the beach, Costa Rica, Start 03.10.2024</t>
  </si>
  <si>
    <t>29.04.0204</t>
  </si>
  <si>
    <t>1 Woche Wildlife Projekt Costa Rica</t>
  </si>
  <si>
    <t>9 Wochen + 1 Tag , 1 Freiwilliger, Soccer Assistant Coach at the beach</t>
  </si>
  <si>
    <t>4 Wochen + 0 Tage , 1 Freiwilliger, Pre and Primary School Assitant in Tansania</t>
  </si>
  <si>
    <t>10 semaines + 5 jours , 1 volontaire, Support Dog Shelter</t>
  </si>
  <si>
    <t>Eglantine Mandron</t>
  </si>
  <si>
    <t>3 semaines + 0 jours , 1 volontaire, Support Dog Shelter,</t>
  </si>
  <si>
    <t>Margot DESBOIS</t>
  </si>
  <si>
    <t>8 semaines + 5 jours , 1 volontaire, Support Dog Shelter,</t>
  </si>
  <si>
    <t>1 Schuljahr High School Aufenthalt ab Ende Juli 2025 in Costa</t>
  </si>
  <si>
    <t>3 semaines + 3 jours , 1 volontaire, Support Dog Shelter</t>
  </si>
  <si>
    <t xml:space="preserve">Lucie Cesbron 
</t>
  </si>
  <si>
    <t>192 Ä</t>
  </si>
  <si>
    <t>geänderte Rechnung mit Zahlungserinnerung raus</t>
  </si>
  <si>
    <t>15.04.204</t>
  </si>
  <si>
    <t>08.03.2024.</t>
  </si>
  <si>
    <t>06.04.0204</t>
  </si>
  <si>
    <t>Liegert Sara</t>
  </si>
  <si>
    <t>Marie Müller</t>
  </si>
  <si>
    <t>Harriet Lumley</t>
  </si>
  <si>
    <t xml:space="preserve">6 weeks, 1 day, 3 volunteers, Teach English Skills to local student at the beach, Costa Rica; </t>
  </si>
  <si>
    <t>Drissa Doumbia</t>
  </si>
  <si>
    <t>12 Wochen, Sozialarbeit mit Kindern in South Africa;</t>
  </si>
  <si>
    <t>Desirée Ayer</t>
  </si>
  <si>
    <t>4 Wochen, 1 Tage, 1 Freiwilliger; Support Dog Shelter in Griechenland</t>
  </si>
  <si>
    <t>175 Ä</t>
  </si>
  <si>
    <t>Dankesmail raus</t>
  </si>
  <si>
    <t>zurück überwiesen am  22.05.2024</t>
  </si>
  <si>
    <t>388,20 zurück überwiesen, ist die Zahlung Vorort</t>
  </si>
  <si>
    <t xml:space="preserve">gezahlt am </t>
  </si>
  <si>
    <t>Haley Lindale</t>
  </si>
  <si>
    <t>2 weeks Support Greek Dog Shelter</t>
  </si>
  <si>
    <t>Keine</t>
  </si>
  <si>
    <t>Charlotte Theresa Schwake</t>
  </si>
  <si>
    <t>4 Wochen, Sozialarbeit mit Kindern auf Bali</t>
  </si>
  <si>
    <t>803,40 zu viel gezahlt, eigentlich Zahlung Vorort</t>
  </si>
  <si>
    <t>Simone Baumann</t>
  </si>
  <si>
    <t>2023-403</t>
  </si>
  <si>
    <t>Svenja Oberle</t>
  </si>
  <si>
    <t>2023-414</t>
  </si>
  <si>
    <t>Carolin Marie Menzler</t>
  </si>
  <si>
    <t>4 Wochen, Sozialarbeit mit Kindern auf Bal</t>
  </si>
  <si>
    <t>Kathrin Schmoll</t>
  </si>
  <si>
    <t>2023-410</t>
  </si>
  <si>
    <t>Scheurich</t>
  </si>
  <si>
    <t>2023-369</t>
  </si>
  <si>
    <t>Klose</t>
  </si>
  <si>
    <t>2023-404</t>
  </si>
  <si>
    <t>Isabel Marquez Sanchez</t>
  </si>
  <si>
    <t>5 Wochen Sprachschule San Jose in Costa Rica,</t>
  </si>
  <si>
    <t>Helle Björnsdotter</t>
  </si>
  <si>
    <t>3 weeks Support Greek Dog Shelter</t>
  </si>
  <si>
    <t>Marla Engel</t>
  </si>
  <si>
    <t>12 Wochen Straßenhundeprojekt in Costa Rica,</t>
  </si>
  <si>
    <t>4 Wochen Horse Rescue and Farmwork in Costa Rica</t>
  </si>
  <si>
    <t>Sophie Kegel</t>
  </si>
  <si>
    <t>Pauline Otto</t>
  </si>
  <si>
    <t xml:space="preserve">4 Wochen, Straßenhundeprojekt Griechenland </t>
  </si>
  <si>
    <t>sophie.kegel1203@gmail.com</t>
  </si>
  <si>
    <t>Kegel Sophie</t>
  </si>
  <si>
    <t>tanjawerner70@web.de</t>
  </si>
  <si>
    <t>09.02.204</t>
  </si>
  <si>
    <t>Wustner Leni</t>
  </si>
  <si>
    <t>2023-389</t>
  </si>
  <si>
    <t>Lena Schwägerl</t>
  </si>
  <si>
    <t>2 Wochen, Beach-Cleaning in Costa Rica / 1 Woche Wildlife Projekt in Costa Rica</t>
  </si>
  <si>
    <t>Laura Klose</t>
  </si>
  <si>
    <t>3 Wochen, Wildlife Projekt in Costa Rica / 2 Woche Meeresschildkrötenprojekt in Costa Rica</t>
  </si>
  <si>
    <t>Eliott Le Rouge</t>
  </si>
  <si>
    <r>
      <t>4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jours , 1 volontaire, Support Dog Shelter</t>
    </r>
    <r>
      <rPr>
        <u/>
        <sz val="11"/>
        <color rgb="FF0000FF"/>
        <rFont val="Calibri"/>
        <family val="2"/>
        <scheme val="minor"/>
      </rPr>
      <t xml:space="preserve">, Grèce  </t>
    </r>
  </si>
  <si>
    <r>
      <t>4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jours , 1 volontaire, Support Dog Shelter</t>
    </r>
    <r>
      <rPr>
        <u/>
        <sz val="11"/>
        <color rgb="FF0000FF"/>
        <rFont val="Calibri"/>
        <family val="2"/>
        <scheme val="minor"/>
      </rPr>
      <t>, Grèce</t>
    </r>
  </si>
  <si>
    <t>Ida Scheurich</t>
  </si>
  <si>
    <t>2 Wochen Wildlife Projekt Costa Rica</t>
  </si>
  <si>
    <t>Lila Graf</t>
  </si>
  <si>
    <t>9 Wochen Fußballprojekt auf Sansibar</t>
  </si>
  <si>
    <t>221a</t>
  </si>
  <si>
    <t>Sophie Graber</t>
  </si>
  <si>
    <t>4 Wochen, 1 Tage, 1 Freiwilliger; Support a Cat and Dog Shelter, Costa Rica</t>
  </si>
  <si>
    <t>3 Wochen Unterkunft in Uvita</t>
  </si>
  <si>
    <t>sofort</t>
  </si>
  <si>
    <t>Salome Flammer</t>
  </si>
  <si>
    <t>2 weeks, 0 days  , 1 volunteering: Support Dog Shelter, Greece</t>
  </si>
  <si>
    <t>03.06.2024/17.06.24</t>
  </si>
  <si>
    <t>Cecilee Goettelmann</t>
  </si>
  <si>
    <t xml:space="preserve">Mail an Ines raus </t>
  </si>
  <si>
    <t>danke Mail raus</t>
  </si>
  <si>
    <t>Lucy Marie Erdmenger/Terhorst</t>
  </si>
  <si>
    <t>2 Wochen, 4 Tage, Wildlife Projekt / 2 Wochen, Meeresschildkröten Ostional, /2 Wochen , Beach Cleaning</t>
  </si>
  <si>
    <t>Simon Pirhofer</t>
  </si>
  <si>
    <t>4 Wochen, 3 Tage, 1 Freiwilliger Soccer Assistant Coach at the beach, Tansania</t>
  </si>
  <si>
    <t>Sahra Richter</t>
  </si>
  <si>
    <t>Rodrigo Vega</t>
  </si>
  <si>
    <t>3weeks, 0 days  , 1 volunteering: Support Dog Shelter, Greece</t>
  </si>
  <si>
    <t>26.07.204</t>
  </si>
  <si>
    <t>kein</t>
  </si>
  <si>
    <t>Cancellation invoice</t>
  </si>
  <si>
    <t>ZE raus 23.06.2024</t>
  </si>
  <si>
    <t>Rahel Steiner</t>
  </si>
  <si>
    <t>3 Wochen, 0 Tage, 1 Freiwilliger; Sea Turtle Conservation &amp; Environmental Protection in Costea Rica</t>
  </si>
  <si>
    <t>ZE raus am 23.06.2024</t>
  </si>
  <si>
    <t>219Ä</t>
  </si>
  <si>
    <t>Nadine Sauerländer</t>
  </si>
  <si>
    <t xml:space="preserve">4 Wochen, 1 Tage, 1 Freiwilliger; Support Dog Shelter </t>
  </si>
  <si>
    <t xml:space="preserve">2 Wochen, Unterkunft während dem Surfkurses  </t>
  </si>
  <si>
    <t>Kornelia Neunteufl</t>
  </si>
  <si>
    <t>Marie Schulte - Altedorneburg</t>
  </si>
  <si>
    <t>2023-390</t>
  </si>
  <si>
    <t>Förstel Bennet</t>
  </si>
  <si>
    <t xml:space="preserve">2 Wochen,  Wildlife Projekt/ 2 Wochen , Beach Cleaning Costa Rica /1 Wochen , Unterkunft in Uvita </t>
  </si>
  <si>
    <t>Clara Baumann</t>
  </si>
  <si>
    <t>1 Woche Unterkunft in Uvita, Costa Rica</t>
  </si>
  <si>
    <t>Taschengeldstipendium 1.800,00€</t>
  </si>
  <si>
    <t>Guthaben 210,00€</t>
  </si>
  <si>
    <t>Madita Coy</t>
  </si>
  <si>
    <t>01.07.2024, Gastfamilie Stadt / 05.07.2024 – 18.07.2024: Gastfamilie Quepo</t>
  </si>
  <si>
    <t>817,20 minus 803,20 gleich 14,00€ zu viel gezahlt</t>
  </si>
  <si>
    <t xml:space="preserve">dankes Mail raus </t>
  </si>
  <si>
    <t>Jenny Carey</t>
  </si>
  <si>
    <t>2 weeks, 0 days  , 1 volunteering: Support Dog Shelter, Greece,</t>
  </si>
  <si>
    <t>Mathilde Kristensen</t>
  </si>
  <si>
    <t>5 weeks, 1 day, 1 volunteering; Support dog Shelter, Greece</t>
  </si>
  <si>
    <t>plus 70,00Euro Einzelzimmerzuschlag / Woche</t>
  </si>
  <si>
    <t>Kyla Sullivan</t>
  </si>
  <si>
    <t>Inés Nuria Cano Vierna</t>
  </si>
  <si>
    <t xml:space="preserve">6 weeks, 5 days, 1 vollunteer, Sea Turtle Conservation &amp; Environmental Protection, Costa Rica, </t>
  </si>
  <si>
    <t>Victor Robic</t>
  </si>
  <si>
    <r>
      <t>3 semaines + 6 jours , 3 volontaire, Support Dog Shelter</t>
    </r>
    <r>
      <rPr>
        <u/>
        <sz val="11"/>
        <color rgb="FF0000FF"/>
        <rFont val="Calibri"/>
        <family val="2"/>
        <scheme val="minor"/>
      </rPr>
      <t xml:space="preserve">, Grèce  </t>
    </r>
  </si>
  <si>
    <r>
      <t xml:space="preserve">Vorortzahlung mit Überwiesen muss zurück 382,20€  </t>
    </r>
    <r>
      <rPr>
        <sz val="11"/>
        <color theme="5" tint="-0.249977111117893"/>
        <rFont val="Calibri"/>
        <family val="2"/>
        <scheme val="minor"/>
      </rPr>
      <t>zurück am 04.07.2024</t>
    </r>
  </si>
  <si>
    <t>daneks Mail raus</t>
  </si>
  <si>
    <t xml:space="preserve">Tabea Rechner </t>
  </si>
  <si>
    <t xml:space="preserve">12 Wochen, Reitpraktikum Griechenland </t>
  </si>
  <si>
    <t>19 Wochen, Journalismuspraktikum in Costa Rica</t>
  </si>
  <si>
    <t>Frieda Christina Niegel</t>
  </si>
  <si>
    <t>High School</t>
  </si>
  <si>
    <t>1 Schuljahr High School Aufenthalt ab Ende Juli 2025 in Costa Rica</t>
  </si>
  <si>
    <t>Upgrade Doppelzimmer mit Freund ab dem 23.11.2024 bis zum 10.12.2024</t>
  </si>
  <si>
    <t>Andrea Friedrich</t>
  </si>
  <si>
    <t>4 Wochen Sozialarbeit mit Kindern Day Care Center in Costa Rica (Stadt) Start: 26.07.2024</t>
  </si>
  <si>
    <t xml:space="preserve">Lena Steimel </t>
  </si>
  <si>
    <t>2023-393</t>
  </si>
  <si>
    <t>ZE raus 13.07.2024</t>
  </si>
  <si>
    <t xml:space="preserve">wurde storniert </t>
  </si>
  <si>
    <t>ZE raus 13.07.204</t>
  </si>
  <si>
    <t>Emmy Schäfer</t>
  </si>
  <si>
    <t>Privat Schule</t>
  </si>
  <si>
    <t xml:space="preserve">halbes Schuljahr Privatschule Costa Rica, Select Programm </t>
  </si>
  <si>
    <t>Dean Krause</t>
  </si>
  <si>
    <t xml:space="preserve">Projektwechsel: </t>
  </si>
  <si>
    <t>von "Internship Tour Operator" zu "NGO Management &amp; Social Media", Uvita, Costa Rica</t>
  </si>
  <si>
    <t>dankes Mail raus</t>
  </si>
  <si>
    <t>Marielle Münchow</t>
  </si>
  <si>
    <t>3 Wochen, 3 Tage, 1 Freiwilliger, Support Greek Dog Shelter</t>
  </si>
  <si>
    <t>Alexandre Berthault</t>
  </si>
  <si>
    <r>
      <t xml:space="preserve">4 semaines +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jours , 1 volontaire, Support Dog Shelter</t>
    </r>
  </si>
  <si>
    <t>428,00 minus 150,00 Paypal Zahlung gleich 278,00€</t>
  </si>
  <si>
    <t>380,00 am 19.07.2024</t>
  </si>
  <si>
    <t>25,00 fehlen  Danke Mail raus</t>
  </si>
  <si>
    <t>Maya Barrow-Stacey</t>
  </si>
  <si>
    <t xml:space="preserve">3 weeks, 0 days, 1 vollunteer, Sea Turtle Conservation &amp; Environmental Protection, Costa Rica, </t>
  </si>
  <si>
    <t xml:space="preserve">Chung Kin Wu </t>
  </si>
  <si>
    <t xml:space="preserve">2 weeks, 0 days, 1 vollunteer, Sea Turtle Conservation &amp; Environmental Protection, Costa Rica, </t>
  </si>
  <si>
    <t>2 Wochen Meeresschildkrötenprojekt , Costa Rica</t>
  </si>
  <si>
    <t>Akawung Moses</t>
  </si>
  <si>
    <t>2 weeks, 1 days, 1 vollunteer, National Park Conservation &amp; Plastic Free Ocean, Costa Rica</t>
  </si>
  <si>
    <t>Nicole Farrier</t>
  </si>
  <si>
    <t xml:space="preserve">2 weeks, 0 days, 1 vollunteer, Jaguar Rescue Center Supporter Ecuador, </t>
  </si>
  <si>
    <t>Haasis Silja</t>
  </si>
  <si>
    <t>4 Wochen Straßenhundeprojekt in Costa Rica, + Apartment extra</t>
  </si>
  <si>
    <t>Fay Wurpel</t>
  </si>
  <si>
    <t>2 weeks, 1 days , 1 volunteering: Support Dog Shelter, Greece</t>
  </si>
  <si>
    <t>Alexandria Tokarzk</t>
  </si>
  <si>
    <r>
      <t xml:space="preserve">4 weeks, 0 days , 2 volunteering: </t>
    </r>
    <r>
      <rPr>
        <u/>
        <sz val="11"/>
        <color rgb="FF0000FF"/>
        <rFont val="Calibri"/>
        <family val="2"/>
        <scheme val="minor"/>
      </rPr>
      <t>English Tutor close tot he beach, Tansania</t>
    </r>
  </si>
  <si>
    <t>Alina Zaki</t>
  </si>
  <si>
    <t>8 Wochen Straßenhund Projekt Costa Rica</t>
  </si>
  <si>
    <t>Nina Wellhoefer</t>
  </si>
  <si>
    <t>Laura Schönfelder</t>
  </si>
  <si>
    <t>2 Wochen Wildlife Projekt + 8 Wochen Straßenhunde Projekt in Costa Rica</t>
  </si>
  <si>
    <t>Lea-Marie Asmus</t>
  </si>
  <si>
    <t>4 Wochen, 3 Tage, 1 Freiwilliger , Support a Dog an Cat Shelter  in Costa Rica</t>
  </si>
  <si>
    <t>Frauke Drahtschmidt</t>
  </si>
  <si>
    <t>4 Wochen, 0 Tage, 1 Freiwilliger , Support Greek Dog Shelter  in Griechenland</t>
  </si>
  <si>
    <t>10.08.204</t>
  </si>
  <si>
    <t>Annika Fürst</t>
  </si>
  <si>
    <t>3 Wochen, 1 Tag, 1 Freiwilliger , Support Greek Dog Shelter , Griechenland</t>
  </si>
  <si>
    <t>Maria Joergensen</t>
  </si>
  <si>
    <t>3 weeks, 6 days  , 2 volunteering: Support Dog Shelter, Greece,</t>
  </si>
  <si>
    <t>Aleskei Tkachenko</t>
  </si>
  <si>
    <t>25.07+26.07.2024</t>
  </si>
  <si>
    <t>Clara Krischok</t>
  </si>
  <si>
    <t>Freiwilligen Arbeit in Südafrika</t>
  </si>
  <si>
    <t>gez 3133,20 = 14,00 zuviel</t>
  </si>
  <si>
    <t>Amelie Wirtzfeld</t>
  </si>
  <si>
    <t>Community and Women´s Empowerment Supporter, Tansania, Start 02.09.2024</t>
  </si>
  <si>
    <t>4223,20 = 112,00 zu viel gezahlt ist für die 4 extra Tage in Uvita</t>
  </si>
  <si>
    <t>Chiara Gerth</t>
  </si>
  <si>
    <t>.</t>
  </si>
  <si>
    <t>fehlen 120,00€ für die 4 extra Tage, wurde noch gezahlt</t>
  </si>
  <si>
    <t>Messe</t>
  </si>
  <si>
    <t>3 Wochen Wildlife Projekt Costa Rica, 1 Woche Unterkunft in Uvita während Surfkurs</t>
  </si>
  <si>
    <t>Dezember</t>
  </si>
  <si>
    <t>Mia Bustos Hein</t>
  </si>
  <si>
    <t>5 Wochen Fußball Projekt Costa Rica, incl. 1 Woche Sprachkurs</t>
  </si>
  <si>
    <t>4 Zusatztage á 30,00€</t>
  </si>
  <si>
    <t>Emilio Leon Reyes</t>
  </si>
  <si>
    <t>1 Schuljahr Privatschule in Costa Rica</t>
  </si>
  <si>
    <t>ab Ende Juli 2025</t>
  </si>
  <si>
    <t>Restbetrag der Vorortzahlung wegen früher Abreise nach 3 Tagen</t>
  </si>
  <si>
    <t>Zahlungserinnerung raus 14.08.2024</t>
  </si>
  <si>
    <t>Sophie Schindler</t>
  </si>
  <si>
    <t>10 Wochen Journalismuspraktikum in Costa Rica - Einmalige Vermittlungsgebühr, plus 10 Wochen Einzelzimmer</t>
  </si>
  <si>
    <t>Brittanne Macey</t>
  </si>
  <si>
    <r>
      <t xml:space="preserve">2 weeks, 1 day  , 1 volunteering: </t>
    </r>
    <r>
      <rPr>
        <sz val="11"/>
        <rFont val="Calibri"/>
        <family val="2"/>
        <scheme val="minor"/>
      </rPr>
      <t>National Park Conservation &amp; Plastic-Free Oceans,</t>
    </r>
    <r>
      <rPr>
        <u/>
        <sz val="11"/>
        <color rgb="FF0000FF"/>
        <rFont val="Calibri"/>
        <family val="2"/>
        <scheme val="minor"/>
      </rPr>
      <t xml:space="preserve"> Costa Rica</t>
    </r>
  </si>
  <si>
    <t>Simon Ford</t>
  </si>
  <si>
    <t>2 weeks, 6 days  , 1 volunteering: Support Dog Shelter, Greece</t>
  </si>
  <si>
    <t>Heloise Parent</t>
  </si>
  <si>
    <r>
      <t>3</t>
    </r>
    <r>
      <rPr>
        <sz val="11"/>
        <color theme="1"/>
        <rFont val="Calibri"/>
        <family val="2"/>
        <scheme val="minor"/>
      </rPr>
      <t xml:space="preserve"> semaines +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jours , 1 volontaire, Support Dog Shelter, Greece</t>
    </r>
  </si>
  <si>
    <t>Huiberts Luni</t>
  </si>
  <si>
    <t>Maximilian Wittmann</t>
  </si>
  <si>
    <t>9 Wochen, 0 Tage, 1 Freiwilliger, Soccer Assistant Coach &amp; Community in Costa Rica</t>
  </si>
  <si>
    <t>zusätzliche Nacht vom 29.09 auf 30.09.2024</t>
  </si>
  <si>
    <t>Freja Immenkötter</t>
  </si>
  <si>
    <t>4 Wochen, Wildlifeprojekt + 4 Wochen Straßenhundeprojekt, Costa Rica</t>
  </si>
  <si>
    <t>Sofie Korczak</t>
  </si>
  <si>
    <t>2 Wochen Unterkunft in Uvita - außerhalb des High School Programmes</t>
  </si>
  <si>
    <t>Emiliano Nicklas</t>
  </si>
  <si>
    <r>
      <t>Teach English Skills to local stutdents in city</t>
    </r>
    <r>
      <rPr>
        <sz val="11"/>
        <color theme="1"/>
        <rFont val="Calibri"/>
        <family val="2"/>
        <scheme val="minor"/>
      </rPr>
      <t xml:space="preserve">, Costa Rica,  </t>
    </r>
  </si>
  <si>
    <t>09.09.20240</t>
  </si>
  <si>
    <t>Mail an Angela</t>
  </si>
  <si>
    <t>Melina Feuster Martinez</t>
  </si>
  <si>
    <t>1 /2 Schuljahr High School Spanien,</t>
  </si>
  <si>
    <t>Malena Dury</t>
  </si>
  <si>
    <t>3 Wochen Schütze Nationalparks / 3 Wochen Wildlifeprojekt in Costa Rica</t>
  </si>
  <si>
    <t>Emma van Bever</t>
  </si>
  <si>
    <r>
      <t xml:space="preserve">6 weeks, 1 day  , 1 volunteering: </t>
    </r>
    <r>
      <rPr>
        <u/>
        <sz val="11"/>
        <color rgb="FF0000FF"/>
        <rFont val="Calibri"/>
        <family val="2"/>
        <scheme val="minor"/>
      </rPr>
      <t xml:space="preserve">Teach English Skills to local Students in City, Costa Rica, </t>
    </r>
  </si>
  <si>
    <r>
      <t>3</t>
    </r>
    <r>
      <rPr>
        <sz val="11"/>
        <color rgb="FFFF0000"/>
        <rFont val="Calibri"/>
        <family val="2"/>
        <scheme val="minor"/>
      </rPr>
      <t xml:space="preserve"> semaines + </t>
    </r>
    <r>
      <rPr>
        <b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jours , 1 volontaire, Support Dog Shelter, Greece</t>
    </r>
  </si>
  <si>
    <t>ZE raus am 11.09.2024</t>
  </si>
  <si>
    <t>Sandra Oberle</t>
  </si>
  <si>
    <t xml:space="preserve">Apartment in Uvita, Costa Rica, für 3 Personen vom 10.04 bis 14.04.2025 </t>
  </si>
  <si>
    <t>Charlotte Berghorn</t>
  </si>
  <si>
    <t xml:space="preserve">4 Wochen Sprachkurs in Uvita / 12 Wochen Hotelpraktikum in Uvita, einmalige Vermittlerprovision/ 12 Wochen Unterkunft in Uvita </t>
  </si>
  <si>
    <t>Chiara Alisha Klein</t>
  </si>
  <si>
    <t>2 Wochen, 0 Tage, 1 Freiwilliger, Sea Turtle Conservation &amp; Environmental Protection</t>
  </si>
  <si>
    <t>ZE raus 18.09.2024</t>
  </si>
  <si>
    <t>Estelle Gillieron</t>
  </si>
  <si>
    <t>15,35€ / Tag für Upgrade in ein Privatzimmer mit geteiltem Bad, vom 02.11.2024 bis 18.01.2025</t>
  </si>
  <si>
    <t>Ruby Parker</t>
  </si>
  <si>
    <t>2 weeks, 1 day  , 2 volunteering: Support Dog Shelter, Greece</t>
  </si>
  <si>
    <t>90,00€ zu viel gezahlt, wofür?</t>
  </si>
  <si>
    <t>Julian Botschafter</t>
  </si>
  <si>
    <t xml:space="preserve">8 Wochen Fußballprojekt in Costa Rica + 1 Woche Sprachkurs in Uvita </t>
  </si>
  <si>
    <t>Ela Centimese</t>
  </si>
  <si>
    <t xml:space="preserve">Einmalige Vermittlungsgebühr für das Pädagogikpraktikum + 12 Unterkunft &amp; Verpflegung während Pädagogikpraktikum </t>
  </si>
  <si>
    <t>Annika Weiß</t>
  </si>
  <si>
    <t>8 Wochen Meeresschildkröten Projekt auf Bali</t>
  </si>
  <si>
    <t>Lisa</t>
  </si>
  <si>
    <t>Lucy Maria Pilar Weiß</t>
  </si>
  <si>
    <t xml:space="preserve">22 Wochen Sozialarbeit mit Kindern, Unterrichten in Thailand, </t>
  </si>
  <si>
    <t>Jesper Meesters</t>
  </si>
  <si>
    <t>18.10.224</t>
  </si>
  <si>
    <t>Katharina Maria Zangerle</t>
  </si>
  <si>
    <t>4 Wochen, 3 Tage, 1 Freiwilliger, English Teacher different Level in Center in Indonesien, Start 18.11.2024</t>
  </si>
  <si>
    <r>
      <t xml:space="preserve">8 weeks, 1 day  , 1 volunteering: </t>
    </r>
    <r>
      <rPr>
        <u/>
        <sz val="11"/>
        <color rgb="FF0000FF"/>
        <rFont val="Calibri"/>
        <family val="2"/>
        <scheme val="minor"/>
      </rPr>
      <t>Teach English Skills to local student at the beach,</t>
    </r>
    <r>
      <rPr>
        <sz val="11"/>
        <color theme="1"/>
        <rFont val="Calibri"/>
        <family val="2"/>
        <scheme val="minor"/>
      </rPr>
      <t xml:space="preserve"> Bali</t>
    </r>
  </si>
  <si>
    <t>Sonja Leiner</t>
  </si>
  <si>
    <t>3 Wochen Wildlifeprojekt in Costa Rica</t>
  </si>
  <si>
    <t>Stornorechnung zu RE 2024-259</t>
  </si>
  <si>
    <t>10% Stornogebühren</t>
  </si>
  <si>
    <t>Paypal 26.09.2024</t>
  </si>
  <si>
    <t>Mila Janokowiak</t>
  </si>
  <si>
    <t>½  Schuljahr Bilinguale Privatschule High School in Costa Rica</t>
  </si>
  <si>
    <t>Nikolai Malinin</t>
  </si>
  <si>
    <t xml:space="preserve">18Tage Unterkunft in Uvita Costa Rica </t>
  </si>
  <si>
    <t>storniert</t>
  </si>
  <si>
    <t>RE 18247</t>
  </si>
  <si>
    <t>Lena Marie Steimel</t>
  </si>
  <si>
    <t>Stornorrechnung zum Beach Cleaning Projekt 90% Stornogebühr Rückzahlung 10% = 126,00€</t>
  </si>
  <si>
    <t>06.10.224</t>
  </si>
  <si>
    <t>2 Wochen + 4 Tage Wildlife Projekt / 2 Wochen Meeresschildkröten Projekt in Costa Rica</t>
  </si>
  <si>
    <t>Viktoria Sizyh</t>
  </si>
  <si>
    <t xml:space="preserve">6 Wochen,  1 Freiwilliger, Tierheim Projekt  Straßenhunde </t>
  </si>
  <si>
    <t>Amelie Grawe</t>
  </si>
  <si>
    <t xml:space="preserve">4 Wochen Rette Meeresschildkröten in Costa Rica, </t>
  </si>
  <si>
    <t>Kim Feid</t>
  </si>
  <si>
    <t>17 Wochen Straßenhundprojekt in Costa Rica</t>
  </si>
  <si>
    <t>1 Woche Unterkunft in Uvita Costa Rica</t>
  </si>
  <si>
    <t>235Ä</t>
  </si>
  <si>
    <t xml:space="preserve">2 Wochen , Beach Cleaning Costa Rica ,Startdatum 19.01.2024 10%, Umbuchungsgebühr für das Wildlife </t>
  </si>
  <si>
    <t>800,40€ zuviel gezahlt. Wird zurück überwiesen 790,40 zurück überwiesen am 11.10.2024, 10,00€ Gebühr</t>
  </si>
  <si>
    <t>Lorina Kosan</t>
  </si>
  <si>
    <t>2023-383</t>
  </si>
  <si>
    <t>Salma Mekout</t>
  </si>
  <si>
    <t xml:space="preserve">National Park Conservation &amp; Plastic-Free Ocean, Costa Rica  </t>
  </si>
  <si>
    <t>Nathan Le Guillou</t>
  </si>
  <si>
    <t>1. x extra Tag in Griechenland 28,00€</t>
  </si>
  <si>
    <t>Clara Maria Petong</t>
  </si>
  <si>
    <t>5 Woche Rette Meeresschildkröten in Costa Rica / 2 Wochen Wildlifeprojekt in Costa Rica</t>
  </si>
  <si>
    <t>Hannah Cordes</t>
  </si>
  <si>
    <t>5 Wochen Rette Meereschildkröten in Costa Rica</t>
  </si>
  <si>
    <t>1 Woche Unterkunft Surfkurs</t>
  </si>
  <si>
    <t>Sophie Grund</t>
  </si>
  <si>
    <t xml:space="preserve">3  Wochen , 0 Tage, 1 Freiwilliger   Support Greek Dog Shelter  </t>
  </si>
  <si>
    <t>126,00€ am 21.10.2024 Rücküberweisung</t>
  </si>
  <si>
    <t>477,00€ am 22.10.2024 per PayPal</t>
  </si>
  <si>
    <t>Mail an Jonas raus</t>
  </si>
  <si>
    <t>DankeMail raus</t>
  </si>
  <si>
    <t>Vincent Romeo Rosing</t>
  </si>
  <si>
    <t xml:space="preserve">5 Wochen, 2 Tage, 1 Freiwilliger Pre and Primary School Assistant,  Tanznia </t>
  </si>
  <si>
    <t>26.10.224</t>
  </si>
  <si>
    <t>Anne Floor</t>
  </si>
  <si>
    <r>
      <t xml:space="preserve">6 weeks, 1 day  , 1 volunteering: </t>
    </r>
    <r>
      <rPr>
        <u/>
        <sz val="11"/>
        <color rgb="FF0000FF"/>
        <rFont val="Calibri"/>
        <family val="2"/>
        <scheme val="minor"/>
      </rPr>
      <t>Veterinarian Helpers, Costa Rica</t>
    </r>
  </si>
  <si>
    <t>158,20€ zuviel</t>
  </si>
  <si>
    <t>Emily Becker</t>
  </si>
  <si>
    <t>½  Schuljahr Bilinguale Privatschule High School in Costa Rica, Start 29.07.2025</t>
  </si>
  <si>
    <t>Sarah Richter</t>
  </si>
  <si>
    <t>1 Woche Unterkunft in Uvita, Costa Rica, 01.12.2024</t>
  </si>
  <si>
    <t xml:space="preserve">Zahlungeingang </t>
  </si>
  <si>
    <t>29.10.24 Zahlungseingang</t>
  </si>
  <si>
    <t>Loane Page</t>
  </si>
  <si>
    <t xml:space="preserve">12 semaines, 1 volontaire, Travail social avee les enfants ´a Bali, </t>
  </si>
  <si>
    <t>Danke Mail Raus</t>
  </si>
  <si>
    <t>per PayPal</t>
  </si>
  <si>
    <t>Lyn Willimann</t>
  </si>
  <si>
    <t>Lena Pflüger</t>
  </si>
  <si>
    <t>1. Woche Unterkunft in Uvita</t>
  </si>
  <si>
    <t>Maria Pilar Hernandez</t>
  </si>
  <si>
    <r>
      <t xml:space="preserve">5 weeks, 1 day  , 1 volunteering: </t>
    </r>
    <r>
      <rPr>
        <u/>
        <sz val="11"/>
        <color rgb="FF0000FF"/>
        <rFont val="Calibri"/>
        <family val="2"/>
        <scheme val="minor"/>
      </rPr>
      <t>Community and Women´s Empowerment Supporter,</t>
    </r>
    <r>
      <rPr>
        <sz val="11"/>
        <color theme="1"/>
        <rFont val="Calibri"/>
        <family val="2"/>
        <scheme val="minor"/>
      </rPr>
      <t xml:space="preserve"> Tansania</t>
    </r>
  </si>
  <si>
    <t>Christien LeBlanc</t>
  </si>
  <si>
    <r>
      <t xml:space="preserve">4 weeks, 1 day  , 1 volunteering: </t>
    </r>
    <r>
      <rPr>
        <u/>
        <sz val="11"/>
        <color rgb="FF0000FF"/>
        <rFont val="Calibri"/>
        <family val="2"/>
        <scheme val="minor"/>
      </rPr>
      <t>NGO Management Supporter, Costa Rica</t>
    </r>
  </si>
  <si>
    <t>Cecile Remondin</t>
  </si>
  <si>
    <r>
      <t>3</t>
    </r>
    <r>
      <rPr>
        <sz val="11"/>
        <color theme="1"/>
        <rFont val="Calibri"/>
        <family val="2"/>
        <scheme val="minor"/>
      </rPr>
      <t xml:space="preserve"> semaines + 0 jours , 1 volontaire, Support Dog Shelter</t>
    </r>
  </si>
  <si>
    <t>1 Woche, Sprachschule San Jose in Costa Rica</t>
  </si>
  <si>
    <r>
      <t>1 week accommondation 15 hours school + 2 meals a day</t>
    </r>
    <r>
      <rPr>
        <u/>
        <sz val="11"/>
        <color rgb="FF0000FF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</si>
  <si>
    <t>2 Woche Unterkunft in Uvita (zu Surfkurs</t>
  </si>
  <si>
    <t>Paypal 05.11.2024</t>
  </si>
  <si>
    <t>Lars Philipp Matzke</t>
  </si>
  <si>
    <t>4 Woche, Sprachschule San Jose in Costa Rica 2 + Extra Tage/12 Wochen Rette Meeresschildkröten in Costa Rica/3 Wochen Beach-Cleaning in Costa Rica/5 Wochen Wildlifeprojekt in Costa Rica</t>
  </si>
  <si>
    <t>3 Wochen, 1 Tage, 2 Freiwilliger; Dog Shelter Costa Rica</t>
  </si>
  <si>
    <t>Noemi Talina Holenstein</t>
  </si>
  <si>
    <t>1 Schuljahr an öffentlicher High School in Costa Rica</t>
  </si>
  <si>
    <t>Ivana Forde</t>
  </si>
  <si>
    <t>4 Woche, Vor- und Grundschule Assistant, Zanzibar, Tansania   Start 14.11.2024</t>
  </si>
  <si>
    <t>Verlängerung  ½  Schuljahr Bilinguale Privatschule High School in Costa Rica (select), seid 30.07.2024 Vorort</t>
  </si>
  <si>
    <t>schon Vorort</t>
  </si>
  <si>
    <t>Mail an Komlan und Angela raus</t>
  </si>
  <si>
    <t>Dankesmails raus</t>
  </si>
  <si>
    <t>Annalinda Klein</t>
  </si>
  <si>
    <t>4 Woche Unterrichten an der Vor- und Grundschule an der Küste in Costa Rica, / 4 x Appartement für 90,00€/Woche (inklusive 2 Mahlzeiten?)</t>
  </si>
  <si>
    <t>Roswitha Märkle</t>
  </si>
  <si>
    <t>4 Wochen, 6 Tage, 1 Freiwilliger , Social work internship at a day care center, Costa Rica</t>
  </si>
  <si>
    <t>Umbuchung Schule und Gastfamilie , Costa Rica</t>
  </si>
  <si>
    <t>Verlängerung des High School Aufenthaltes um ein halbes Jahr, schon Vorot</t>
  </si>
  <si>
    <t>1 Woche Unterkunft in Uvita zum Surfkurs Start am 01.12.2024</t>
  </si>
  <si>
    <t>6 Tage , Wild Life Projekt in Costa Rica, Start 02.08.2025</t>
  </si>
  <si>
    <t>Katharina Jung</t>
  </si>
  <si>
    <t xml:space="preserve">5 Wochen Sprachschule in San José / 13 Wochen Tourismuspraktikum in Uvita / 13 Wochen Tourismuspraktikum in Uvita </t>
  </si>
  <si>
    <t>297Ä</t>
  </si>
  <si>
    <t>Sophie Zaranek</t>
  </si>
  <si>
    <t>2 Wochen Wildlife Projekt Start 07.02.2024, 4 Wochen Straßenhunde Projekt in Costa Rica</t>
  </si>
  <si>
    <t>8 und 5 Tage Unterkunft im Volunteer Haus in Uvita</t>
  </si>
  <si>
    <t>Freja Schuldt</t>
  </si>
  <si>
    <t>Aleksei Tkachenko</t>
  </si>
  <si>
    <t>2 Wochen, 1 Volunteer , Rette Meeresschildkröten in Ostional, Costa Rica</t>
  </si>
  <si>
    <t>Julian Schupp</t>
  </si>
  <si>
    <t>20 Wochen Fußballprojekt auf Sansibar</t>
  </si>
  <si>
    <t>10 Lektionen Privatunterricht (260,00) Costa Rica</t>
  </si>
  <si>
    <t>Unterkunft in Uvita zum Surfkurs</t>
  </si>
  <si>
    <t>3 Übernachtung in der Gastfamilie, am 03.02.205, am 13.07.2025 und am 14.07.2025</t>
  </si>
  <si>
    <t>343Ä</t>
  </si>
  <si>
    <t>Gutschein über 30,00€ im Adventskalender gewonnen und hier abgezogen</t>
  </si>
  <si>
    <t>Storno Meeresschildkröten Projekt</t>
  </si>
  <si>
    <t>Constantin Mertens</t>
  </si>
  <si>
    <t xml:space="preserve">1 Woche Sprachkurs in Spanien Unterkunft in Gastfamilie im Einzelzimmer </t>
  </si>
  <si>
    <t xml:space="preserve"> 04.12.2024</t>
  </si>
  <si>
    <t xml:space="preserve">2 Wochen Meeresschildkröten Projekt Ostinal, Costa Rica, </t>
  </si>
  <si>
    <t>Storno zu Rechnung-Nr. (2024-235Ä) vom (11.10.2024</t>
  </si>
  <si>
    <t>70,32 zu viel gezahlt</t>
  </si>
  <si>
    <t>Storno zu Rechnung-Nr. (2024-198) vom 02.05.2024</t>
  </si>
  <si>
    <t>für Reiserücktrittversicherung geschrieben</t>
  </si>
  <si>
    <t>Luis Schley</t>
  </si>
  <si>
    <t>6 Wochen, 0 Tage, 1 Freiwilliger, Soccer Coach and Community Supporter in Uvita, Costa Rica</t>
  </si>
  <si>
    <t>Annika Glassl</t>
  </si>
  <si>
    <t>2 Wochen Wildlife Projekt in Costa Rica</t>
  </si>
  <si>
    <t>Erik Bauer</t>
  </si>
  <si>
    <t>10 Wochen Fußballprojekt Costa Rica, Extras 20 Unterrichtseinheiten Sprachkurs, 2 Wochen Wildlifeprojekt in Costa Rica</t>
  </si>
  <si>
    <t>Mina Hathiramani</t>
  </si>
  <si>
    <t>1/2 Schuljahr private High School in Costa Rica</t>
  </si>
  <si>
    <t>1 Extratag im Wildlife Projekt</t>
  </si>
  <si>
    <t>Vorort</t>
  </si>
  <si>
    <t>Luca Finn Kapoor</t>
  </si>
  <si>
    <t>8 Wochen , 4 Tage Tourismuspraktikum in Uvita, Costa Rica, Freiwilligenunterkunft</t>
  </si>
  <si>
    <t>16.12.2024/17.12.2024</t>
  </si>
  <si>
    <t>ZE raus 20.12.2024</t>
  </si>
  <si>
    <t>Minou Liebmann</t>
  </si>
  <si>
    <t xml:space="preserve">1/2 Schuljahr öffentliche Schule Frankreich (select), </t>
  </si>
  <si>
    <t>15.01.02025</t>
  </si>
  <si>
    <t>Mara Noll</t>
  </si>
  <si>
    <t>3 Wochen Rette Meeresschildkröten, 3 Wochen Wildlifeprojket in Turrucares, 8 Wochen Straßenhundeprojekt in Costa Rica</t>
  </si>
  <si>
    <t>Maya Buhl</t>
  </si>
  <si>
    <t>2 Wochen, 1 Tag, 1 Freiwilliger Natioanl Park Conservation &amp; Plastic-Free Oceans, Costa Rica</t>
  </si>
  <si>
    <t>Léo-Paul Cord’homme</t>
  </si>
  <si>
    <t>4 Wochen 1 Freiwilliger, Teach English Skills to local stutends at the beach, Volunteer House, Upgrade Apartement, Pas de respas, Uvita, costa Rica</t>
  </si>
  <si>
    <t>Alice Renoux</t>
  </si>
  <si>
    <t>Noah Hess</t>
  </si>
  <si>
    <t>4 Wochen, 1 Tag, 1 Freiwilliger, Soccer Coach and Community Supporter, Costa Rica</t>
  </si>
  <si>
    <r>
      <t>21.10.24</t>
    </r>
    <r>
      <rPr>
        <b/>
        <sz val="11"/>
        <color theme="1"/>
        <rFont val="Calibri"/>
        <family val="2"/>
        <scheme val="minor"/>
      </rPr>
      <t>/02.02.25</t>
    </r>
  </si>
  <si>
    <r>
      <t xml:space="preserve">4 weeks, 4 days  , 2 volunteering: </t>
    </r>
    <r>
      <rPr>
        <u/>
        <sz val="11"/>
        <color rgb="FFFF0000"/>
        <rFont val="Calibri"/>
        <family val="2"/>
        <scheme val="minor"/>
      </rPr>
      <t>Pre and Primary School Assitstant</t>
    </r>
    <r>
      <rPr>
        <sz val="11"/>
        <color rgb="FFFF0000"/>
        <rFont val="Calibri"/>
        <family val="2"/>
        <scheme val="minor"/>
      </rPr>
      <t>, Tansania</t>
    </r>
  </si>
  <si>
    <t>Mandy Alex</t>
  </si>
  <si>
    <t>3 wochen, 3 Tage, 1 Freiwilliger, Natioan Park Conservation &amp; Plastic-Free Oceans, Costa Rica</t>
  </si>
  <si>
    <t>zu wenig, wegen der Umrechnung 95,81€ zu wenig erhalten</t>
  </si>
  <si>
    <t>wird in 2025 storniert</t>
  </si>
  <si>
    <t>da ein neue Rechnung in 2025 erstellt wird</t>
  </si>
  <si>
    <t>?</t>
  </si>
  <si>
    <t>ZE raus 15.02.2025</t>
  </si>
  <si>
    <r>
      <t xml:space="preserve">2 (3)  semaines +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jours , 1 volontaire, </t>
    </r>
    <r>
      <rPr>
        <b/>
        <sz val="11"/>
        <color theme="1"/>
        <rFont val="Calibri"/>
        <family val="2"/>
        <scheme val="minor"/>
      </rPr>
      <t>Seaturtle Conversation &amp; Environvental Protection, Costa Rica    Stornieren nicht angereist</t>
    </r>
  </si>
  <si>
    <t>..</t>
  </si>
  <si>
    <t>Ausbuchen, da Anwalt eingeschaltet</t>
  </si>
  <si>
    <t>danke Mail raus für 17.02.2025</t>
  </si>
  <si>
    <t>nicht angereist. Muss storniert werden</t>
  </si>
  <si>
    <t>wurde storniert, muss ausgebucht werden</t>
  </si>
  <si>
    <t>da die Reisende gesundheitliche Probleme hat, wird eine Stornorechnung in 2025 erstellt.</t>
  </si>
  <si>
    <t>29.05+30.05.2025</t>
  </si>
  <si>
    <t>danke Mail  raus</t>
  </si>
  <si>
    <t>01.+03.07.2025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</si>
</sst>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\ _€"/>
    <numFmt numFmtId="166" formatCode="dd/mm/yy;@"/>
  </numFmts>
  <fonts count="2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36363"/>
      <name val="Calibri"/>
      <family val="2"/>
      <scheme val="minor"/>
    </font>
    <font>
      <sz val="11"/>
      <color rgb="FF13131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313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636363"/>
      <name val="Arial"/>
      <family val="2"/>
    </font>
    <font>
      <sz val="11"/>
      <color theme="1"/>
      <name val="Arial"/>
      <family val="2"/>
    </font>
    <font>
      <sz val="12"/>
      <color rgb="FF636363"/>
      <name val="Arial"/>
      <family val="2"/>
    </font>
    <font>
      <u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164" fontId="0" fillId="2" borderId="0" xfId="0" applyNumberFormat="1" applyFill="1"/>
    <xf numFmtId="164" fontId="0" fillId="0" borderId="0" xfId="0" applyNumberFormat="1" applyFill="1"/>
    <xf numFmtId="14" fontId="0" fillId="2" borderId="0" xfId="0" applyNumberForma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1"/>
    <xf numFmtId="0" fontId="0" fillId="2" borderId="0" xfId="0" applyFill="1"/>
    <xf numFmtId="0" fontId="0" fillId="0" borderId="0" xfId="0" applyAlignment="1">
      <alignment vertical="center"/>
    </xf>
    <xf numFmtId="0" fontId="0" fillId="6" borderId="0" xfId="0" applyFill="1"/>
    <xf numFmtId="14" fontId="0" fillId="6" borderId="0" xfId="0" applyNumberFormat="1" applyFill="1"/>
    <xf numFmtId="0" fontId="0" fillId="6" borderId="0" xfId="0" applyFont="1" applyFill="1"/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0" borderId="0" xfId="0" applyFont="1"/>
    <xf numFmtId="0" fontId="0" fillId="2" borderId="0" xfId="0" applyFill="1" applyAlignment="1">
      <alignment vertical="center"/>
    </xf>
    <xf numFmtId="0" fontId="3" fillId="2" borderId="0" xfId="1" applyFill="1"/>
    <xf numFmtId="164" fontId="0" fillId="2" borderId="0" xfId="0" applyNumberFormat="1" applyFont="1" applyFill="1"/>
    <xf numFmtId="0" fontId="5" fillId="2" borderId="0" xfId="0" applyFont="1" applyFill="1"/>
    <xf numFmtId="0" fontId="0" fillId="6" borderId="0" xfId="0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5" fillId="2" borderId="0" xfId="0" applyFont="1" applyFill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right" wrapText="1"/>
    </xf>
    <xf numFmtId="8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wrapText="1"/>
    </xf>
    <xf numFmtId="14" fontId="0" fillId="8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vertical="center"/>
    </xf>
    <xf numFmtId="0" fontId="0" fillId="8" borderId="1" xfId="0" applyFill="1" applyBorder="1" applyAlignment="1">
      <alignment horizontal="right" wrapText="1"/>
    </xf>
    <xf numFmtId="0" fontId="0" fillId="5" borderId="1" xfId="0" applyFill="1" applyBorder="1" applyAlignment="1">
      <alignment vertical="center"/>
    </xf>
    <xf numFmtId="0" fontId="0" fillId="9" borderId="1" xfId="0" applyFill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horizontal="right" wrapText="1"/>
    </xf>
    <xf numFmtId="8" fontId="6" fillId="2" borderId="1" xfId="0" applyNumberFormat="1" applyFont="1" applyFill="1" applyBorder="1" applyAlignment="1">
      <alignment horizontal="right" wrapText="1"/>
    </xf>
    <xf numFmtId="14" fontId="6" fillId="2" borderId="1" xfId="0" applyNumberFormat="1" applyFont="1" applyFill="1" applyBorder="1" applyAlignment="1">
      <alignment horizontal="right" wrapText="1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wrapText="1"/>
    </xf>
    <xf numFmtId="8" fontId="0" fillId="7" borderId="1" xfId="0" applyNumberFormat="1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14" fontId="0" fillId="9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14" fontId="0" fillId="10" borderId="1" xfId="0" applyNumberForma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right" wrapText="1"/>
    </xf>
    <xf numFmtId="8" fontId="0" fillId="10" borderId="1" xfId="0" applyNumberFormat="1" applyFill="1" applyBorder="1" applyAlignment="1">
      <alignment horizontal="right" wrapText="1"/>
    </xf>
    <xf numFmtId="0" fontId="0" fillId="10" borderId="1" xfId="0" applyFill="1" applyBorder="1" applyAlignment="1">
      <alignment vertical="center"/>
    </xf>
    <xf numFmtId="14" fontId="0" fillId="10" borderId="1" xfId="0" applyNumberFormat="1" applyFill="1" applyBorder="1" applyAlignment="1">
      <alignment horizontal="right" wrapText="1"/>
    </xf>
    <xf numFmtId="0" fontId="3" fillId="2" borderId="1" xfId="1" applyFill="1" applyBorder="1" applyAlignment="1">
      <alignment wrapText="1"/>
    </xf>
    <xf numFmtId="0" fontId="1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right" wrapText="1"/>
    </xf>
    <xf numFmtId="0" fontId="0" fillId="12" borderId="1" xfId="0" applyFill="1" applyBorder="1" applyAlignment="1">
      <alignment horizontal="right" wrapText="1"/>
    </xf>
    <xf numFmtId="0" fontId="15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14" fontId="0" fillId="12" borderId="1" xfId="0" applyNumberFormat="1" applyFill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  <xf numFmtId="166" fontId="0" fillId="0" borderId="0" xfId="0" applyNumberFormat="1"/>
    <xf numFmtId="0" fontId="0" fillId="5" borderId="1" xfId="0" applyFill="1" applyBorder="1" applyAlignment="1">
      <alignment horizontal="left" wrapText="1"/>
    </xf>
    <xf numFmtId="14" fontId="0" fillId="13" borderId="1" xfId="0" applyNumberFormat="1" applyFill="1" applyBorder="1" applyAlignment="1">
      <alignment horizontal="right" wrapText="1"/>
    </xf>
    <xf numFmtId="14" fontId="0" fillId="13" borderId="1" xfId="0" applyNumberFormat="1" applyFill="1" applyBorder="1" applyAlignment="1">
      <alignment wrapText="1"/>
    </xf>
    <xf numFmtId="166" fontId="0" fillId="2" borderId="1" xfId="0" applyNumberFormat="1" applyFill="1" applyBorder="1" applyAlignment="1">
      <alignment horizontal="right" wrapText="1"/>
    </xf>
    <xf numFmtId="166" fontId="0" fillId="0" borderId="1" xfId="0" applyNumberFormat="1" applyBorder="1" applyAlignment="1">
      <alignment horizontal="right" wrapText="1"/>
    </xf>
    <xf numFmtId="166" fontId="0" fillId="7" borderId="1" xfId="0" applyNumberFormat="1" applyFill="1" applyBorder="1" applyAlignment="1">
      <alignment horizontal="right" wrapText="1"/>
    </xf>
    <xf numFmtId="166" fontId="0" fillId="10" borderId="1" xfId="0" applyNumberFormat="1" applyFill="1" applyBorder="1" applyAlignment="1">
      <alignment horizontal="right" wrapText="1"/>
    </xf>
    <xf numFmtId="166" fontId="0" fillId="10" borderId="1" xfId="0" applyNumberFormat="1" applyFill="1" applyBorder="1" applyAlignment="1">
      <alignment wrapText="1"/>
    </xf>
    <xf numFmtId="166" fontId="0" fillId="2" borderId="1" xfId="0" applyNumberFormat="1" applyFill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166" fontId="0" fillId="7" borderId="1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wrapText="1"/>
    </xf>
    <xf numFmtId="14" fontId="0" fillId="14" borderId="1" xfId="0" applyNumberFormat="1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0" xfId="0" applyFont="1" applyFill="1"/>
    <xf numFmtId="14" fontId="0" fillId="7" borderId="1" xfId="0" applyNumberFormat="1" applyFill="1" applyBorder="1" applyAlignment="1">
      <alignment wrapText="1"/>
    </xf>
    <xf numFmtId="14" fontId="0" fillId="14" borderId="0" xfId="0" applyNumberFormat="1" applyFill="1"/>
    <xf numFmtId="0" fontId="0" fillId="2" borderId="0" xfId="0" applyNumberFormat="1" applyFill="1" applyAlignment="1">
      <alignment horizontal="center"/>
    </xf>
    <xf numFmtId="165" fontId="0" fillId="2" borderId="0" xfId="0" applyNumberFormat="1" applyFill="1"/>
    <xf numFmtId="166" fontId="0" fillId="2" borderId="1" xfId="0" applyNumberFormat="1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0" fontId="0" fillId="2" borderId="0" xfId="0" applyFont="1" applyFill="1"/>
    <xf numFmtId="14" fontId="0" fillId="14" borderId="1" xfId="0" applyNumberFormat="1" applyFill="1" applyBorder="1" applyAlignment="1">
      <alignment horizontal="right" wrapText="1"/>
    </xf>
    <xf numFmtId="0" fontId="6" fillId="0" borderId="1" xfId="0" applyFont="1" applyFill="1" applyBorder="1" applyAlignment="1">
      <alignment wrapText="1"/>
    </xf>
    <xf numFmtId="14" fontId="6" fillId="0" borderId="1" xfId="0" applyNumberFormat="1" applyFont="1" applyFill="1" applyBorder="1" applyAlignment="1">
      <alignment horizontal="right" wrapText="1"/>
    </xf>
    <xf numFmtId="14" fontId="6" fillId="0" borderId="1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166" fontId="6" fillId="0" borderId="1" xfId="0" applyNumberFormat="1" applyFont="1" applyFill="1" applyBorder="1" applyAlignment="1">
      <alignment horizontal="right" wrapText="1"/>
    </xf>
    <xf numFmtId="8" fontId="6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right" wrapText="1"/>
    </xf>
    <xf numFmtId="8" fontId="1" fillId="2" borderId="1" xfId="0" applyNumberFormat="1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17" fillId="2" borderId="1" xfId="1" applyFont="1" applyFill="1" applyBorder="1" applyAlignment="1">
      <alignment wrapText="1"/>
    </xf>
    <xf numFmtId="14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66" fontId="6" fillId="2" borderId="1" xfId="0" applyNumberFormat="1" applyFont="1" applyFill="1" applyBorder="1" applyAlignment="1">
      <alignment horizontal="right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14" fontId="6" fillId="2" borderId="0" xfId="0" applyNumberFormat="1" applyFont="1" applyFill="1"/>
    <xf numFmtId="1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/>
    <xf numFmtId="0" fontId="0" fillId="4" borderId="1" xfId="0" applyFill="1" applyBorder="1" applyAlignment="1">
      <alignment wrapText="1"/>
    </xf>
    <xf numFmtId="0" fontId="3" fillId="2" borderId="0" xfId="1" applyFill="1" applyAlignment="1">
      <alignment horizontal="justify" vertical="center"/>
    </xf>
    <xf numFmtId="0" fontId="6" fillId="2" borderId="1" xfId="0" applyFont="1" applyFill="1" applyBorder="1" applyAlignment="1">
      <alignment vertical="center"/>
    </xf>
    <xf numFmtId="14" fontId="6" fillId="14" borderId="1" xfId="0" applyNumberFormat="1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166" fontId="0" fillId="6" borderId="1" xfId="0" applyNumberFormat="1" applyFill="1" applyBorder="1" applyAlignment="1">
      <alignment horizontal="right" wrapText="1"/>
    </xf>
    <xf numFmtId="8" fontId="0" fillId="6" borderId="1" xfId="0" applyNumberFormat="1" applyFill="1" applyBorder="1" applyAlignment="1">
      <alignment horizontal="right" wrapText="1"/>
    </xf>
    <xf numFmtId="166" fontId="0" fillId="6" borderId="1" xfId="0" applyNumberFormat="1" applyFill="1" applyBorder="1" applyAlignment="1">
      <alignment horizontal="center" wrapText="1"/>
    </xf>
    <xf numFmtId="8" fontId="0" fillId="6" borderId="1" xfId="0" applyNumberFormat="1" applyFill="1" applyBorder="1" applyAlignment="1">
      <alignment horizontal="center" wrapText="1"/>
    </xf>
    <xf numFmtId="14" fontId="0" fillId="6" borderId="1" xfId="0" applyNumberFormat="1" applyFill="1" applyBorder="1" applyAlignment="1">
      <alignment horizontal="right" wrapText="1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right" wrapText="1"/>
    </xf>
    <xf numFmtId="14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6" fontId="6" fillId="0" borderId="1" xfId="0" applyNumberFormat="1" applyFont="1" applyBorder="1" applyAlignment="1">
      <alignment horizontal="right" wrapText="1"/>
    </xf>
    <xf numFmtId="8" fontId="6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21" fillId="0" borderId="1" xfId="0" applyNumberFormat="1" applyFont="1" applyBorder="1" applyAlignment="1">
      <alignment horizontal="right" wrapText="1"/>
    </xf>
    <xf numFmtId="0" fontId="0" fillId="2" borderId="0" xfId="0" applyFont="1" applyFill="1" applyAlignment="1">
      <alignment vertical="center"/>
    </xf>
    <xf numFmtId="0" fontId="16" fillId="2" borderId="0" xfId="0" applyFont="1" applyFill="1"/>
    <xf numFmtId="0" fontId="9" fillId="0" borderId="0" xfId="0" applyFont="1"/>
    <xf numFmtId="0" fontId="17" fillId="2" borderId="0" xfId="1" applyFon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164" fontId="0" fillId="2" borderId="1" xfId="0" applyNumberFormat="1" applyFill="1" applyBorder="1"/>
    <xf numFmtId="14" fontId="0" fillId="2" borderId="1" xfId="0" applyNumberFormat="1" applyFill="1" applyBorder="1"/>
    <xf numFmtId="14" fontId="0" fillId="14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4" fontId="9" fillId="0" borderId="1" xfId="0" applyNumberFormat="1" applyFont="1" applyBorder="1"/>
    <xf numFmtId="0" fontId="20" fillId="2" borderId="1" xfId="0" applyFont="1" applyFill="1" applyBorder="1"/>
    <xf numFmtId="14" fontId="0" fillId="0" borderId="1" xfId="0" applyNumberFormat="1" applyBorder="1"/>
    <xf numFmtId="14" fontId="0" fillId="2" borderId="1" xfId="0" applyNumberFormat="1" applyFill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0" fillId="0" borderId="5" xfId="0" applyBorder="1" applyAlignment="1">
      <alignment wrapText="1"/>
    </xf>
    <xf numFmtId="0" fontId="0" fillId="0" borderId="0" xfId="0" applyBorder="1"/>
    <xf numFmtId="0" fontId="0" fillId="2" borderId="5" xfId="0" applyFill="1" applyBorder="1" applyAlignment="1">
      <alignment wrapText="1"/>
    </xf>
    <xf numFmtId="0" fontId="3" fillId="0" borderId="0" xfId="1" applyBorder="1" applyAlignment="1">
      <alignment vertical="center"/>
    </xf>
    <xf numFmtId="0" fontId="0" fillId="7" borderId="5" xfId="0" applyFill="1" applyBorder="1" applyAlignment="1">
      <alignment wrapText="1"/>
    </xf>
    <xf numFmtId="0" fontId="0" fillId="10" borderId="5" xfId="0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0" xfId="0" applyFont="1" applyFill="1" applyBorder="1"/>
    <xf numFmtId="0" fontId="4" fillId="2" borderId="5" xfId="0" applyFont="1" applyFill="1" applyBorder="1" applyAlignment="1">
      <alignment wrapText="1"/>
    </xf>
    <xf numFmtId="0" fontId="0" fillId="2" borderId="5" xfId="0" applyFill="1" applyBorder="1" applyAlignment="1">
      <alignment vertical="center" wrapText="1"/>
    </xf>
    <xf numFmtId="0" fontId="6" fillId="0" borderId="5" xfId="0" applyFont="1" applyFill="1" applyBorder="1" applyAlignment="1">
      <alignment wrapText="1"/>
    </xf>
    <xf numFmtId="0" fontId="5" fillId="2" borderId="5" xfId="0" applyFont="1" applyFill="1" applyBorder="1" applyAlignment="1">
      <alignment vertical="center" wrapText="1"/>
    </xf>
    <xf numFmtId="0" fontId="0" fillId="5" borderId="0" xfId="0" applyFill="1" applyBorder="1"/>
    <xf numFmtId="0" fontId="0" fillId="2" borderId="5" xfId="0" applyFill="1" applyBorder="1" applyAlignment="1">
      <alignment vertical="center"/>
    </xf>
    <xf numFmtId="0" fontId="5" fillId="0" borderId="5" xfId="0" applyFont="1" applyBorder="1" applyAlignment="1">
      <alignment vertical="top" wrapText="1"/>
    </xf>
    <xf numFmtId="0" fontId="5" fillId="6" borderId="5" xfId="0" applyFont="1" applyFill="1" applyBorder="1" applyAlignment="1">
      <alignment vertical="center" wrapText="1"/>
    </xf>
    <xf numFmtId="0" fontId="0" fillId="6" borderId="5" xfId="0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0" fillId="2" borderId="5" xfId="0" applyFill="1" applyBorder="1" applyAlignment="1">
      <alignment vertical="top" wrapText="1"/>
    </xf>
    <xf numFmtId="0" fontId="6" fillId="0" borderId="0" xfId="0" applyFont="1" applyBorder="1"/>
    <xf numFmtId="14" fontId="6" fillId="0" borderId="0" xfId="0" applyNumberFormat="1" applyFont="1" applyBorder="1"/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6" fontId="6" fillId="0" borderId="0" xfId="0" applyNumberFormat="1" applyFont="1" applyBorder="1"/>
    <xf numFmtId="164" fontId="6" fillId="0" borderId="0" xfId="0" applyNumberFormat="1" applyFont="1" applyBorder="1"/>
    <xf numFmtId="14" fontId="0" fillId="0" borderId="0" xfId="0" applyNumberFormat="1" applyBorder="1"/>
    <xf numFmtId="164" fontId="0" fillId="0" borderId="0" xfId="0" applyNumberFormat="1" applyBorder="1"/>
    <xf numFmtId="0" fontId="5" fillId="2" borderId="4" xfId="0" applyFont="1" applyFill="1" applyBorder="1" applyAlignment="1">
      <alignment vertical="center"/>
    </xf>
    <xf numFmtId="0" fontId="0" fillId="2" borderId="0" xfId="0" applyFill="1" applyBorder="1"/>
    <xf numFmtId="14" fontId="0" fillId="2" borderId="0" xfId="0" applyNumberFormat="1" applyFill="1" applyBorder="1"/>
    <xf numFmtId="14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6" fontId="0" fillId="2" borderId="0" xfId="0" applyNumberFormat="1" applyFill="1" applyBorder="1"/>
    <xf numFmtId="164" fontId="0" fillId="2" borderId="0" xfId="0" applyNumberFormat="1" applyFill="1" applyBorder="1"/>
    <xf numFmtId="14" fontId="0" fillId="14" borderId="0" xfId="0" applyNumberFormat="1" applyFill="1" applyBorder="1"/>
    <xf numFmtId="0" fontId="6" fillId="2" borderId="4" xfId="0" applyFont="1" applyFill="1" applyBorder="1" applyAlignment="1">
      <alignment vertical="center"/>
    </xf>
    <xf numFmtId="0" fontId="6" fillId="2" borderId="0" xfId="0" applyFont="1" applyFill="1" applyBorder="1"/>
    <xf numFmtId="14" fontId="6" fillId="2" borderId="0" xfId="0" applyNumberFormat="1" applyFont="1" applyFill="1" applyBorder="1"/>
    <xf numFmtId="14" fontId="6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66" fontId="6" fillId="2" borderId="0" xfId="0" applyNumberFormat="1" applyFont="1" applyFill="1" applyBorder="1"/>
    <xf numFmtId="164" fontId="6" fillId="2" borderId="0" xfId="0" applyNumberFormat="1" applyFont="1" applyFill="1" applyBorder="1"/>
    <xf numFmtId="14" fontId="9" fillId="0" borderId="0" xfId="0" applyNumberFormat="1" applyFont="1" applyBorder="1"/>
    <xf numFmtId="0" fontId="6" fillId="14" borderId="4" xfId="0" applyFont="1" applyFill="1" applyBorder="1" applyAlignment="1">
      <alignment vertical="center"/>
    </xf>
    <xf numFmtId="0" fontId="6" fillId="14" borderId="0" xfId="0" applyFont="1" applyFill="1" applyBorder="1"/>
    <xf numFmtId="14" fontId="6" fillId="14" borderId="0" xfId="0" applyNumberFormat="1" applyFont="1" applyFill="1" applyBorder="1"/>
    <xf numFmtId="0" fontId="6" fillId="14" borderId="0" xfId="0" applyFont="1" applyFill="1" applyBorder="1" applyAlignment="1">
      <alignment horizontal="justify" vertical="center"/>
    </xf>
    <xf numFmtId="14" fontId="6" fillId="14" borderId="0" xfId="0" applyNumberFormat="1" applyFont="1" applyFill="1" applyBorder="1" applyAlignment="1">
      <alignment horizontal="center"/>
    </xf>
    <xf numFmtId="0" fontId="6" fillId="14" borderId="0" xfId="0" applyFont="1" applyFill="1" applyBorder="1" applyAlignment="1">
      <alignment horizontal="center"/>
    </xf>
    <xf numFmtId="166" fontId="6" fillId="14" borderId="0" xfId="0" applyNumberFormat="1" applyFont="1" applyFill="1" applyBorder="1"/>
    <xf numFmtId="164" fontId="6" fillId="14" borderId="0" xfId="0" applyNumberFormat="1" applyFont="1" applyFill="1" applyBorder="1"/>
    <xf numFmtId="14" fontId="19" fillId="14" borderId="0" xfId="0" applyNumberFormat="1" applyFont="1" applyFill="1" applyBorder="1"/>
    <xf numFmtId="0" fontId="0" fillId="14" borderId="0" xfId="0" applyFill="1" applyBorder="1"/>
    <xf numFmtId="0" fontId="0" fillId="2" borderId="4" xfId="0" applyFill="1" applyBorder="1"/>
    <xf numFmtId="0" fontId="0" fillId="0" borderId="4" xfId="0" applyBorder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/>
    <xf numFmtId="14" fontId="0" fillId="7" borderId="0" xfId="0" applyNumberFormat="1" applyFill="1" applyBorder="1"/>
    <xf numFmtId="0" fontId="6" fillId="2" borderId="4" xfId="0" applyFont="1" applyFill="1" applyBorder="1"/>
    <xf numFmtId="0" fontId="3" fillId="0" borderId="0" xfId="1" applyBorder="1"/>
    <xf numFmtId="0" fontId="16" fillId="2" borderId="4" xfId="0" applyFont="1" applyFill="1" applyBorder="1"/>
    <xf numFmtId="0" fontId="0" fillId="2" borderId="0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4" xfId="0" applyFont="1" applyFill="1" applyBorder="1"/>
    <xf numFmtId="0" fontId="9" fillId="2" borderId="0" xfId="0" applyFont="1" applyFill="1" applyBorder="1"/>
    <xf numFmtId="0" fontId="0" fillId="2" borderId="4" xfId="0" applyFont="1" applyFill="1" applyBorder="1"/>
    <xf numFmtId="0" fontId="0" fillId="0" borderId="4" xfId="0" applyFont="1" applyBorder="1"/>
    <xf numFmtId="0" fontId="3" fillId="2" borderId="0" xfId="1" applyFill="1" applyBorder="1"/>
    <xf numFmtId="0" fontId="9" fillId="15" borderId="0" xfId="0" applyFont="1" applyFill="1" applyBorder="1"/>
    <xf numFmtId="0" fontId="0" fillId="15" borderId="0" xfId="0" applyFill="1" applyBorder="1"/>
    <xf numFmtId="0" fontId="0" fillId="0" borderId="4" xfId="0" applyBorder="1" applyAlignment="1">
      <alignment vertical="center"/>
    </xf>
    <xf numFmtId="0" fontId="0" fillId="16" borderId="4" xfId="0" applyFont="1" applyFill="1" applyBorder="1" applyAlignment="1">
      <alignment vertical="center"/>
    </xf>
    <xf numFmtId="0" fontId="0" fillId="16" borderId="0" xfId="0" applyFill="1" applyBorder="1"/>
    <xf numFmtId="14" fontId="0" fillId="16" borderId="0" xfId="0" applyNumberForma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166" fontId="0" fillId="16" borderId="0" xfId="0" applyNumberFormat="1" applyFill="1" applyBorder="1"/>
    <xf numFmtId="164" fontId="0" fillId="16" borderId="0" xfId="0" applyNumberFormat="1" applyFill="1" applyBorder="1"/>
    <xf numFmtId="14" fontId="0" fillId="16" borderId="0" xfId="0" applyNumberFormat="1" applyFill="1" applyBorder="1"/>
    <xf numFmtId="0" fontId="0" fillId="6" borderId="0" xfId="0" applyFill="1" applyBorder="1"/>
    <xf numFmtId="0" fontId="3" fillId="2" borderId="0" xfId="1" applyFill="1" applyBorder="1" applyAlignment="1">
      <alignment horizontal="justify" vertical="center"/>
    </xf>
    <xf numFmtId="0" fontId="17" fillId="2" borderId="0" xfId="1" applyFont="1" applyFill="1" applyBorder="1"/>
    <xf numFmtId="164" fontId="0" fillId="14" borderId="0" xfId="0" applyNumberFormat="1" applyFill="1" applyBorder="1"/>
    <xf numFmtId="0" fontId="6" fillId="2" borderId="0" xfId="0" applyFont="1" applyFill="1" applyBorder="1" applyAlignment="1">
      <alignment horizontal="justify" vertical="center"/>
    </xf>
    <xf numFmtId="17" fontId="0" fillId="2" borderId="0" xfId="0" applyNumberFormat="1" applyFill="1" applyBorder="1" applyAlignment="1">
      <alignment horizontal="center"/>
    </xf>
    <xf numFmtId="14" fontId="1" fillId="14" borderId="0" xfId="0" applyNumberFormat="1" applyFont="1" applyFill="1" applyBorder="1"/>
    <xf numFmtId="0" fontId="20" fillId="2" borderId="4" xfId="0" applyFont="1" applyFill="1" applyBorder="1"/>
    <xf numFmtId="0" fontId="0" fillId="0" borderId="0" xfId="0" applyBorder="1" applyAlignment="1">
      <alignment horizontal="justify" vertical="center"/>
    </xf>
    <xf numFmtId="0" fontId="0" fillId="2" borderId="4" xfId="0" applyFont="1" applyFill="1" applyBorder="1" applyAlignment="1">
      <alignment vertical="center"/>
    </xf>
    <xf numFmtId="0" fontId="0" fillId="2" borderId="0" xfId="0" applyFill="1" applyBorder="1" applyAlignment="1">
      <alignment horizontal="justify" vertical="center"/>
    </xf>
    <xf numFmtId="0" fontId="12" fillId="2" borderId="4" xfId="0" applyFont="1" applyFill="1" applyBorder="1" applyAlignment="1">
      <alignment vertical="center"/>
    </xf>
    <xf numFmtId="14" fontId="1" fillId="2" borderId="0" xfId="0" applyNumberFormat="1" applyFont="1" applyFill="1" applyBorder="1"/>
    <xf numFmtId="4" fontId="0" fillId="2" borderId="0" xfId="0" applyNumberFormat="1" applyFill="1" applyBorder="1"/>
    <xf numFmtId="0" fontId="0" fillId="0" borderId="0" xfId="0" applyFill="1" applyBorder="1"/>
    <xf numFmtId="0" fontId="4" fillId="0" borderId="4" xfId="0" applyFont="1" applyBorder="1"/>
    <xf numFmtId="0" fontId="0" fillId="0" borderId="0" xfId="0" applyFont="1" applyBorder="1"/>
    <xf numFmtId="0" fontId="10" fillId="2" borderId="0" xfId="0" applyFont="1" applyFill="1" applyBorder="1"/>
    <xf numFmtId="0" fontId="6" fillId="0" borderId="4" xfId="0" applyFont="1" applyBorder="1"/>
    <xf numFmtId="0" fontId="19" fillId="0" borderId="0" xfId="0" applyFont="1" applyBorder="1"/>
    <xf numFmtId="14" fontId="0" fillId="2" borderId="0" xfId="0" applyNumberFormat="1" applyFill="1" applyBorder="1" applyAlignment="1">
      <alignment horizontal="right"/>
    </xf>
    <xf numFmtId="0" fontId="0" fillId="0" borderId="0" xfId="0" applyFill="1"/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166" fontId="0" fillId="17" borderId="1" xfId="0" applyNumberFormat="1" applyFill="1" applyBorder="1" applyAlignment="1">
      <alignment horizontal="right" wrapText="1"/>
    </xf>
    <xf numFmtId="8" fontId="0" fillId="17" borderId="1" xfId="0" applyNumberFormat="1" applyFill="1" applyBorder="1" applyAlignment="1">
      <alignment horizontal="right" wrapText="1"/>
    </xf>
    <xf numFmtId="14" fontId="0" fillId="17" borderId="1" xfId="0" applyNumberFormat="1" applyFill="1" applyBorder="1" applyAlignment="1">
      <alignment horizontal="right" wrapText="1"/>
    </xf>
    <xf numFmtId="0" fontId="6" fillId="17" borderId="1" xfId="0" applyFont="1" applyFill="1" applyBorder="1" applyAlignment="1">
      <alignment wrapText="1"/>
    </xf>
    <xf numFmtId="8" fontId="0" fillId="14" borderId="0" xfId="0" applyNumberFormat="1" applyFill="1" applyBorder="1"/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justify" vertical="center"/>
    </xf>
    <xf numFmtId="0" fontId="4" fillId="2" borderId="0" xfId="0" applyFont="1" applyFill="1"/>
    <xf numFmtId="0" fontId="0" fillId="2" borderId="0" xfId="0" applyFont="1" applyFill="1" applyBorder="1"/>
    <xf numFmtId="0" fontId="0" fillId="14" borderId="0" xfId="0" applyFill="1" applyAlignment="1">
      <alignment vertical="center"/>
    </xf>
    <xf numFmtId="0" fontId="0" fillId="14" borderId="0" xfId="0" applyFill="1"/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0" fillId="2" borderId="4" xfId="0" applyFill="1" applyBorder="1" applyAlignment="1">
      <alignment horizontal="left" vertical="center"/>
    </xf>
    <xf numFmtId="14" fontId="0" fillId="5" borderId="0" xfId="0" applyNumberFormat="1" applyFill="1" applyBorder="1"/>
    <xf numFmtId="14" fontId="9" fillId="2" borderId="0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13" borderId="0" xfId="0" applyFill="1"/>
    <xf numFmtId="14" fontId="0" fillId="13" borderId="0" xfId="0" applyNumberFormat="1" applyFill="1" applyBorder="1"/>
    <xf numFmtId="0" fontId="0" fillId="2" borderId="6" xfId="0" applyFill="1" applyBorder="1"/>
    <xf numFmtId="0" fontId="0" fillId="5" borderId="4" xfId="0" applyFill="1" applyBorder="1" applyAlignment="1">
      <alignment vertical="center"/>
    </xf>
    <xf numFmtId="14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6" fontId="0" fillId="5" borderId="0" xfId="0" applyNumberFormat="1" applyFill="1" applyBorder="1"/>
    <xf numFmtId="164" fontId="0" fillId="5" borderId="0" xfId="0" applyNumberFormat="1" applyFill="1" applyBorder="1"/>
    <xf numFmtId="0" fontId="0" fillId="13" borderId="0" xfId="0" applyFill="1" applyBorder="1"/>
    <xf numFmtId="0" fontId="0" fillId="5" borderId="0" xfId="0" applyFill="1" applyAlignment="1">
      <alignment vertical="center"/>
    </xf>
    <xf numFmtId="0" fontId="0" fillId="5" borderId="0" xfId="0" applyFill="1"/>
    <xf numFmtId="14" fontId="0" fillId="6" borderId="0" xfId="0" applyNumberFormat="1" applyFill="1" applyBorder="1"/>
    <xf numFmtId="0" fontId="0" fillId="2" borderId="0" xfId="0" applyFill="1" applyBorder="1" applyAlignment="1">
      <alignment vertical="center" wrapText="1"/>
    </xf>
    <xf numFmtId="0" fontId="0" fillId="0" borderId="0" xfId="0" applyAlignment="1">
      <alignment horizontal="justify" vertical="center"/>
    </xf>
    <xf numFmtId="164" fontId="0" fillId="4" borderId="0" xfId="0" applyNumberFormat="1" applyFill="1" applyBorder="1"/>
    <xf numFmtId="165" fontId="0" fillId="14" borderId="0" xfId="0" applyNumberFormat="1" applyFill="1" applyBorder="1"/>
    <xf numFmtId="14" fontId="22" fillId="0" borderId="0" xfId="0" applyNumberFormat="1" applyFont="1" applyBorder="1"/>
    <xf numFmtId="3" fontId="9" fillId="0" borderId="1" xfId="0" applyNumberFormat="1" applyFont="1" applyBorder="1"/>
    <xf numFmtId="14" fontId="9" fillId="2" borderId="0" xfId="0" applyNumberFormat="1" applyFont="1" applyFill="1" applyBorder="1" applyAlignment="1">
      <alignment horizontal="center"/>
    </xf>
    <xf numFmtId="14" fontId="19" fillId="2" borderId="0" xfId="0" applyNumberFormat="1" applyFont="1" applyFill="1" applyBorder="1" applyAlignment="1">
      <alignment horizontal="center"/>
    </xf>
    <xf numFmtId="14" fontId="9" fillId="5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14" fontId="19" fillId="0" borderId="0" xfId="0" applyNumberFormat="1" applyFont="1" applyBorder="1" applyAlignment="1">
      <alignment horizontal="center"/>
    </xf>
    <xf numFmtId="0" fontId="21" fillId="2" borderId="1" xfId="0" applyFont="1" applyFill="1" applyBorder="1" applyAlignment="1">
      <alignment horizontal="center" wrapText="1"/>
    </xf>
    <xf numFmtId="166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right" wrapText="1"/>
    </xf>
    <xf numFmtId="17" fontId="0" fillId="2" borderId="1" xfId="0" applyNumberFormat="1" applyFill="1" applyBorder="1" applyAlignment="1">
      <alignment horizontal="center"/>
    </xf>
    <xf numFmtId="14" fontId="9" fillId="2" borderId="1" xfId="0" applyNumberFormat="1" applyFont="1" applyFill="1" applyBorder="1"/>
    <xf numFmtId="17" fontId="9" fillId="2" borderId="1" xfId="0" applyNumberFormat="1" applyFont="1" applyFill="1" applyBorder="1" applyAlignment="1">
      <alignment horizontal="center"/>
    </xf>
    <xf numFmtId="0" fontId="0" fillId="18" borderId="5" xfId="0" applyFill="1" applyBorder="1" applyAlignment="1">
      <alignment wrapText="1"/>
    </xf>
    <xf numFmtId="0" fontId="0" fillId="18" borderId="1" xfId="0" applyFill="1" applyBorder="1" applyAlignment="1">
      <alignment wrapText="1"/>
    </xf>
    <xf numFmtId="14" fontId="0" fillId="18" borderId="1" xfId="0" applyNumberFormat="1" applyFill="1" applyBorder="1" applyAlignment="1">
      <alignment horizontal="right" wrapText="1"/>
    </xf>
    <xf numFmtId="14" fontId="9" fillId="18" borderId="1" xfId="0" applyNumberFormat="1" applyFont="1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166" fontId="0" fillId="18" borderId="1" xfId="0" applyNumberFormat="1" applyFill="1" applyBorder="1" applyAlignment="1">
      <alignment horizontal="right" wrapText="1"/>
    </xf>
    <xf numFmtId="8" fontId="0" fillId="18" borderId="1" xfId="0" applyNumberFormat="1" applyFill="1" applyBorder="1" applyAlignment="1">
      <alignment horizontal="right" wrapText="1"/>
    </xf>
    <xf numFmtId="14" fontId="21" fillId="2" borderId="1" xfId="0" applyNumberFormat="1" applyFont="1" applyFill="1" applyBorder="1" applyAlignment="1">
      <alignment horizontal="right" wrapText="1"/>
    </xf>
    <xf numFmtId="14" fontId="1" fillId="14" borderId="1" xfId="0" applyNumberFormat="1" applyFont="1" applyFill="1" applyBorder="1" applyAlignment="1">
      <alignment wrapText="1"/>
    </xf>
    <xf numFmtId="14" fontId="9" fillId="14" borderId="0" xfId="0" applyNumberFormat="1" applyFont="1" applyFill="1" applyBorder="1"/>
    <xf numFmtId="0" fontId="0" fillId="3" borderId="0" xfId="0" applyFill="1" applyBorder="1"/>
    <xf numFmtId="14" fontId="9" fillId="6" borderId="0" xfId="0" applyNumberFormat="1" applyFont="1" applyFill="1" applyBorder="1"/>
    <xf numFmtId="14" fontId="0" fillId="19" borderId="0" xfId="0" applyNumberFormat="1" applyFill="1" applyBorder="1"/>
    <xf numFmtId="14" fontId="19" fillId="0" borderId="0" xfId="0" applyNumberFormat="1" applyFont="1" applyBorder="1"/>
    <xf numFmtId="0" fontId="6" fillId="0" borderId="0" xfId="0" applyFont="1" applyAlignment="1">
      <alignment vertical="center"/>
    </xf>
    <xf numFmtId="0" fontId="6" fillId="0" borderId="0" xfId="0" applyFont="1"/>
    <xf numFmtId="0" fontId="0" fillId="19" borderId="0" xfId="0" applyFill="1"/>
    <xf numFmtId="0" fontId="0" fillId="19" borderId="0" xfId="0" applyFill="1" applyBorder="1"/>
    <xf numFmtId="14" fontId="0" fillId="19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6" fontId="0" fillId="19" borderId="0" xfId="0" applyNumberFormat="1" applyFill="1" applyBorder="1"/>
    <xf numFmtId="164" fontId="0" fillId="19" borderId="0" xfId="0" applyNumberFormat="1" applyFill="1" applyBorder="1"/>
    <xf numFmtId="164" fontId="0" fillId="20" borderId="0" xfId="0" applyNumberFormat="1" applyFill="1" applyBorder="1"/>
    <xf numFmtId="14" fontId="0" fillId="20" borderId="0" xfId="0" applyNumberFormat="1" applyFill="1" applyBorder="1"/>
    <xf numFmtId="0" fontId="0" fillId="16" borderId="4" xfId="0" applyFill="1" applyBorder="1" applyAlignment="1">
      <alignment vertical="center"/>
    </xf>
    <xf numFmtId="0" fontId="0" fillId="20" borderId="4" xfId="0" applyFill="1" applyBorder="1"/>
    <xf numFmtId="0" fontId="0" fillId="20" borderId="0" xfId="0" applyFill="1" applyBorder="1"/>
    <xf numFmtId="14" fontId="0" fillId="20" borderId="0" xfId="0" applyNumberFormat="1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166" fontId="0" fillId="20" borderId="0" xfId="0" applyNumberFormat="1" applyFill="1" applyBorder="1"/>
    <xf numFmtId="14" fontId="0" fillId="6" borderId="1" xfId="0" applyNumberFormat="1" applyFill="1" applyBorder="1" applyAlignment="1">
      <alignment wrapText="1"/>
    </xf>
    <xf numFmtId="0" fontId="0" fillId="20" borderId="1" xfId="0" applyFill="1" applyBorder="1" applyAlignment="1">
      <alignment wrapText="1"/>
    </xf>
    <xf numFmtId="8" fontId="0" fillId="20" borderId="1" xfId="0" applyNumberFormat="1" applyFill="1" applyBorder="1" applyAlignment="1">
      <alignment horizontal="right" wrapText="1"/>
    </xf>
    <xf numFmtId="14" fontId="0" fillId="20" borderId="1" xfId="0" applyNumberFormat="1" applyFill="1" applyBorder="1" applyAlignment="1">
      <alignment horizontal="right" wrapText="1"/>
    </xf>
    <xf numFmtId="14" fontId="19" fillId="2" borderId="0" xfId="0" applyNumberFormat="1" applyFont="1" applyFill="1" applyBorder="1"/>
    <xf numFmtId="0" fontId="6" fillId="16" borderId="4" xfId="0" applyFont="1" applyFill="1" applyBorder="1" applyAlignment="1">
      <alignment vertical="center"/>
    </xf>
    <xf numFmtId="0" fontId="6" fillId="16" borderId="0" xfId="0" applyFont="1" applyFill="1" applyBorder="1"/>
    <xf numFmtId="14" fontId="6" fillId="16" borderId="0" xfId="0" applyNumberFormat="1" applyFont="1" applyFill="1" applyBorder="1"/>
    <xf numFmtId="0" fontId="6" fillId="16" borderId="0" xfId="0" applyFont="1" applyFill="1" applyBorder="1" applyAlignment="1">
      <alignment horizontal="justify" vertical="center"/>
    </xf>
    <xf numFmtId="14" fontId="6" fillId="16" borderId="0" xfId="0" applyNumberFormat="1" applyFont="1" applyFill="1" applyBorder="1" applyAlignment="1">
      <alignment horizontal="center"/>
    </xf>
    <xf numFmtId="0" fontId="6" fillId="16" borderId="0" xfId="0" applyFont="1" applyFill="1" applyBorder="1" applyAlignment="1">
      <alignment horizontal="center"/>
    </xf>
    <xf numFmtId="166" fontId="6" fillId="16" borderId="0" xfId="0" applyNumberFormat="1" applyFont="1" applyFill="1" applyBorder="1"/>
    <xf numFmtId="164" fontId="6" fillId="16" borderId="0" xfId="0" applyNumberFormat="1" applyFont="1" applyFill="1" applyBorder="1"/>
    <xf numFmtId="0" fontId="6" fillId="16" borderId="4" xfId="0" applyFont="1" applyFill="1" applyBorder="1"/>
    <xf numFmtId="14" fontId="19" fillId="16" borderId="0" xfId="0" applyNumberFormat="1" applyFont="1" applyFill="1" applyBorder="1" applyAlignment="1">
      <alignment horizontal="center"/>
    </xf>
    <xf numFmtId="164" fontId="0" fillId="21" borderId="0" xfId="0" applyNumberFormat="1" applyFill="1" applyBorder="1"/>
    <xf numFmtId="14" fontId="0" fillId="21" borderId="0" xfId="0" applyNumberFormat="1" applyFill="1" applyBorder="1"/>
    <xf numFmtId="0" fontId="0" fillId="21" borderId="0" xfId="0" applyFill="1" applyBorder="1"/>
    <xf numFmtId="14" fontId="9" fillId="21" borderId="0" xfId="0" applyNumberFormat="1" applyFont="1" applyFill="1" applyBorder="1"/>
    <xf numFmtId="3" fontId="0" fillId="14" borderId="0" xfId="0" applyNumberFormat="1" applyFill="1"/>
    <xf numFmtId="44" fontId="0" fillId="2" borderId="0" xfId="0" applyNumberFormat="1" applyFill="1" applyBorder="1"/>
    <xf numFmtId="0" fontId="6" fillId="0" borderId="2" xfId="0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 applyBorder="1" applyAlignment="1">
      <alignment vertical="center"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14" fontId="22" fillId="2" borderId="0" xfId="0" applyNumberFormat="1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3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8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3" Type="http://schemas.openxmlformats.org/officeDocument/2006/relationships/hyperlink" Target="http://tracking.volunteerworld.com/track/click/30536058/www.volunteerworld.com?p=eyJzIjoiQnZLZzRoaFNfU0s1VXk1VjVYUWlNdzhSdVI4IiwidiI6MSwicCI6IntcInVcIjozMDUzNjA1OCxcInZcIjoxLFwidXJsXCI6XCJodHRwczpcXFwvXFxcL3d3dy52b2x1bnRlZXJ3b3JsZC5jb21cXFwvdm9sdW50ZWVyLXByb2dyYW1cXFwvc2VhLXR1cnRsZXMtY29uc2VydmF0aW9uLWVudmlyb25tZW50YWwtcHJvdGVjdGlvLWluLWNvc3RhLXJpY2EtcGxheWEtYmFuZGVyYVwiLFwiaWRcIjpcImFjNzFjMDY3MzZlNzQxMTM4NjkyYWFmN2JlZTJmMzBjXCIsXCJ1cmxfaWRzXCI6W1wiYTM5N2YzNDIyMzYyMmFmMDlhNmIwNzdkODFlOTNkODlkOWU2MzMxNFwiXX0ifQ" TargetMode="External"/><Relationship Id="rId7" Type="http://schemas.openxmlformats.org/officeDocument/2006/relationships/hyperlink" Target="http://tracking.volunteerworld.com/track/click/30536058/www.volunteerworld.com?p=eyJzIjoiS2ctUGlvODdoMGg5ZU5UanBKb1gzUmVzbHVjIiwidiI6MSwicCI6IntcInVcIjozMDUzNjA1OCxcInZcIjoxLFwidXJsXCI6XCJodHRwczpcXFwvXFxcL3d3dy52b2x1bnRlZXJ3b3JsZC5jb21cXFwvdm9sdW50ZWVyLXByb2dyYW1cXFwvc3VwcG9ydC1kb2ctc2hlbHRlci1pbi1ncmVlY2UtaXJha2xpb1wiLFwiaWRcIjpcIjFiMDMwYjU5Y2YyNjRhNTA5YjRiZjI2NDMwODM2NjBiXCIsXCJ1cmxfaWRzXCI6W1wiOTRlNzFiNzRjMjM3ZjE0YzFlZDNjYTQ3ZTY0MGU4ZTEyMWU5NmUxM1wiXX0ifQ" TargetMode="External"/><Relationship Id="rId12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7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2" Type="http://schemas.openxmlformats.org/officeDocument/2006/relationships/hyperlink" Target="http://tracking.volunteerworld.com/track/click/30536058/www.volunteerworld.com?p=eyJzIjoiWTY3Nnp4RTkwcEpRMVMtYUIxekJuNllKalV3IiwidiI6MSwicCI6IntcInVcIjozMDUzNjA1OCxcInZcIjoxLFwidXJsXCI6XCJodHRwczpcXFwvXFxcL3d3dy52b2x1bnRlZXJ3b3JsZC5jb21cXFwvdm9sdW50ZWVyLXByb2dyYW1cXFwvdGVhY2gtZW5nbGlzaC1za2lsbHMtdG8tbG9jYWwtc3R1ZGVudC1hdC10aGUtYmVhY2gtaW4tY29zdGEtcmljYS1qYWNvXCIsXCJpZFwiOlwiZGZjMjA1NjNjNjc3NGY3MDgxZWZlNTU1NjMzNTg4OTVcIixcInVybF9pZHNcIjpbXCJhNjNiYzE3MDc4NzY4NzViMGJkOGI3ZTBhMzMzZmEzYzUwZWI0N2IxXCJdfSJ9" TargetMode="External"/><Relationship Id="rId16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tracking.volunteerworld.com/track/click/30536058/www.volunteerworld.com?p=eyJzIjoiNE1mSjRra2FwY3FiSEJabFE0bldXTlEwR0Z3IiwidiI6MSwicCI6IntcInVcIjozMDUzNjA1OCxcInZcIjoxLFwidXJsXCI6XCJodHRwczpcXFwvXFxcL3d3dy52b2x1bnRlZXJ3b3JsZC5jb21cXFwvdm9sdW50ZWVyLXByb2dyYW1cXFwvc29jY2VyLWFzc2lzdGFudC1jb2FjaC1hdC10aGUtYmVhY2gtaW4tdGFuemFuaWEtbnVuZ3dpLXphbnppYmFyXCIsXCJpZFwiOlwiOWE4NTAyYjU3OTg4NDY4ZmE5M2I2ZGY2M2JlM2U4NGVcIixcInVybF9pZHNcIjpbXCIzOGJiZWI1MjM0OThmNWQ1NGMyMGI4NDY3NDM2NDNkZThlMDI0ZGZmXCJdfSJ9" TargetMode="External"/><Relationship Id="rId6" Type="http://schemas.openxmlformats.org/officeDocument/2006/relationships/hyperlink" Target="http://tracking.volunteerworld.com/track/click/30536058/www.volunteerworld.com?p=eyJzIjoic0F3Tm9Gd1J0SDlwNFFMMHdfVHpPa0FKeXVRIiwidiI6MSwicCI6IntcInVcIjozMDUzNjA1OCxcInZcIjoxLFwidXJsXCI6XCJodHRwczpcXFwvXFxcL3d3dy52b2x1bnRlZXJ3b3JsZC5jb21cXFwvdm9sdW50ZWVyLXByb2dyYW1cXFwvcHJlLWFuZC1wcmltYXJ5LXNjaG9vbC1hc3Npc3RhbnQtaW4tdGFuemFuaWEtbnVuZ3dpLXphbnppYmFyXCIsXCJpZFwiOlwiM2MyZWM1NTE0Njc0NDk4NDlmZjg1MTlmOWIwYjhkNmFcIixcInVybF9pZHNcIjpbXCJlMzc2YWFlYWM4MjIzZjhiNGYxOGY3ZmVmODM1OWJjYzM1YzdiNDY0XCJdfSJ9" TargetMode="External"/><Relationship Id="rId11" Type="http://schemas.openxmlformats.org/officeDocument/2006/relationships/hyperlink" Target="mailto:tanjawerner70@web.de" TargetMode="External"/><Relationship Id="rId5" Type="http://schemas.openxmlformats.org/officeDocument/2006/relationships/hyperlink" Target="http://tracking.volunteerworld.com/track/click/30536058/www.volunteerworld.com?p=eyJzIjoiOW9yVkN5YV82Wi1WbWEtYy1zNEoxMXpmV25ZIiwidiI6MSwicCI6IntcInVcIjozMDUzNjA1OCxcInZcIjoxLFwidXJsXCI6XCJodHRwczpcXFwvXFxcL3d3dy52b2x1bnRlZXJ3b3JsZC5jb21cXFwvZW5cXFwvdm9sdW50ZWVyLWFicm9hZFxcXC90YW56YW5pYVwiLFwiaWRcIjpcIjNjMmVjNTUxNDY3NDQ5ODQ5ZmY4NTE5ZjliMGI4ZDZhXCIsXCJ1cmxfaWRzXCI6W1wiNmRiZmRlYTQ0Zjk1YmE3YWJlMDQ5YTMzYWU4NDUyMWY4MDg2NmUwNVwiXX0ifQ" TargetMode="External"/><Relationship Id="rId15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0" Type="http://schemas.openxmlformats.org/officeDocument/2006/relationships/hyperlink" Target="mailto:sophie.kegel1203@gmail.com" TargetMode="External"/><Relationship Id="rId19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4" Type="http://schemas.openxmlformats.org/officeDocument/2006/relationships/hyperlink" Target="http://tracking.volunteerworld.com/track/click/30536058/www.volunteerworld.com?p=eyJzIjoiU1Y4TTdJeWtlTW5fLS00czE0MndvVmFkWnlnIiwidiI6MSwicCI6IntcInVcIjozMDUzNjA1OCxcInZcIjoxLFwidXJsXCI6XCJodHRwczpcXFwvXFxcL3d3dy52b2x1bnRlZXJ3b3JsZC5jb21cXFwvdm9sdW50ZWVyLXByb2dyYW1cXFwvc3VwcG9ydC1hLWNhdC1hbmQtZG9nLXNoZWx0ZXItaW4tY29zdGEtcmljYS11dml0YVwiLFwiaWRcIjpcIjkwNDg5NGJjNGM4NjQzZmZhZDk3Y2ViYjEyYzljMzFhXCIsXCJ1cmxfaWRzXCI6W1wiZjU4YTk2YTJjNmQ2N2I0N2ZkNzdhZTQ5NzQxMTdkYTgxNmU0ZmI0ZlwiXX0ifQ" TargetMode="External"/><Relationship Id="rId9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4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3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7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2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6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10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4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Relationship Id="rId9" Type="http://schemas.openxmlformats.org/officeDocument/2006/relationships/hyperlink" Target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2"/>
  <sheetViews>
    <sheetView tabSelected="1" zoomScaleNormal="100" workbookViewId="0">
      <pane xSplit="1" ySplit="1" topLeftCell="B245" activePane="bottomRight" state="frozen"/>
      <selection pane="topRight" activeCell="B1" sqref="B1"/>
      <selection pane="bottomLeft" activeCell="A2" sqref="A2"/>
      <selection pane="bottomRight" activeCell="T275" sqref="T275"/>
    </sheetView>
  </sheetViews>
  <sheetFormatPr baseColWidth="10" defaultRowHeight="14.4" x14ac:dyDescent="0.3"/>
  <cols>
    <col min="1" max="1" width="27.44140625" style="234" customWidth="1"/>
    <col min="2" max="2" width="14.44140625" style="165" bestFit="1" customWidth="1"/>
    <col min="3" max="3" width="14.44140625" style="165" customWidth="1"/>
    <col min="4" max="4" width="109.44140625" style="165" bestFit="1" customWidth="1"/>
    <col min="5" max="5" width="12.33203125" style="165" customWidth="1"/>
    <col min="6" max="6" width="17.88671875" style="223" customWidth="1"/>
    <col min="7" max="7" width="11" style="223" customWidth="1"/>
    <col min="8" max="8" width="16.33203125" style="224" bestFit="1" customWidth="1"/>
    <col min="9" max="9" width="14.88671875" style="193" bestFit="1" customWidth="1"/>
    <col min="10" max="10" width="10.44140625" style="193" bestFit="1" customWidth="1"/>
    <col min="11" max="11" width="10.109375" style="192" bestFit="1" customWidth="1"/>
    <col min="12" max="12" width="22.33203125" style="192" customWidth="1"/>
    <col min="13" max="13" width="15.88671875" style="165" customWidth="1"/>
    <col min="14" max="14" width="14.5546875" style="193" customWidth="1"/>
    <col min="15" max="15" width="12.109375" style="192" customWidth="1"/>
    <col min="16" max="16" width="12.109375" style="165" customWidth="1"/>
    <col min="17" max="17" width="11.33203125" style="193" bestFit="1" customWidth="1"/>
    <col min="18" max="18" width="11.109375" style="165" bestFit="1" customWidth="1"/>
    <col min="19" max="19" width="18.109375" style="165" customWidth="1"/>
    <col min="20" max="20" width="22.5546875" style="165" customWidth="1"/>
    <col min="21" max="21" width="58.88671875" style="193" customWidth="1"/>
    <col min="22" max="22" width="42.6640625" style="165" customWidth="1"/>
    <col min="23" max="16384" width="11.5546875" style="165"/>
  </cols>
  <sheetData>
    <row r="1" spans="1:26" ht="15" thickBot="1" x14ac:dyDescent="0.35">
      <c r="A1" s="164" t="s">
        <v>5</v>
      </c>
      <c r="B1" s="28" t="s">
        <v>0</v>
      </c>
      <c r="C1" s="28" t="s">
        <v>1</v>
      </c>
      <c r="D1" s="28" t="s">
        <v>243</v>
      </c>
      <c r="E1" s="28" t="s">
        <v>103</v>
      </c>
      <c r="F1" s="29" t="s">
        <v>9</v>
      </c>
      <c r="G1" s="29" t="s">
        <v>7</v>
      </c>
      <c r="H1" s="76" t="s">
        <v>1</v>
      </c>
      <c r="I1" s="28" t="s">
        <v>23</v>
      </c>
      <c r="J1" s="28" t="s">
        <v>2</v>
      </c>
      <c r="K1" s="28" t="s">
        <v>3</v>
      </c>
      <c r="L1" s="28" t="s">
        <v>24</v>
      </c>
      <c r="M1" s="28" t="s">
        <v>4</v>
      </c>
      <c r="N1" s="28" t="s">
        <v>2</v>
      </c>
      <c r="O1" s="28" t="s">
        <v>3</v>
      </c>
      <c r="P1" s="28" t="s">
        <v>4</v>
      </c>
      <c r="Q1" s="28" t="s">
        <v>24</v>
      </c>
      <c r="R1" s="28" t="s">
        <v>3</v>
      </c>
      <c r="S1" s="28" t="s">
        <v>24</v>
      </c>
      <c r="T1" s="28" t="s">
        <v>4</v>
      </c>
      <c r="U1" s="28" t="s">
        <v>24</v>
      </c>
      <c r="V1" s="28" t="s">
        <v>1</v>
      </c>
      <c r="W1" s="28"/>
      <c r="X1" s="28"/>
      <c r="Y1" s="28"/>
      <c r="Z1" s="28"/>
    </row>
    <row r="2" spans="1:26" ht="15" thickBot="1" x14ac:dyDescent="0.35">
      <c r="A2" s="166" t="s">
        <v>6</v>
      </c>
      <c r="B2" s="30"/>
      <c r="C2" s="30"/>
      <c r="D2" s="30" t="s">
        <v>12</v>
      </c>
      <c r="E2" s="30"/>
      <c r="F2" s="31">
        <v>45298</v>
      </c>
      <c r="G2" s="32">
        <v>104</v>
      </c>
      <c r="H2" s="81">
        <v>45293</v>
      </c>
      <c r="I2" s="34">
        <v>883.5</v>
      </c>
      <c r="J2" s="30"/>
      <c r="K2" s="30"/>
      <c r="L2" s="30"/>
      <c r="M2" s="30"/>
      <c r="N2" s="30"/>
      <c r="O2" s="30" t="s">
        <v>35</v>
      </c>
      <c r="P2" s="30"/>
      <c r="Q2" s="34">
        <v>883.5</v>
      </c>
      <c r="R2" s="33">
        <v>45444</v>
      </c>
      <c r="S2" s="35" t="s">
        <v>244</v>
      </c>
      <c r="T2" s="28"/>
      <c r="U2" s="28"/>
      <c r="V2" s="28"/>
      <c r="W2" s="28"/>
      <c r="X2" s="28"/>
      <c r="Y2" s="30" t="s">
        <v>24</v>
      </c>
      <c r="Z2" s="28"/>
    </row>
    <row r="3" spans="1:26" ht="15" thickBot="1" x14ac:dyDescent="0.35">
      <c r="A3" s="166" t="s">
        <v>10</v>
      </c>
      <c r="B3" s="30"/>
      <c r="C3" s="30"/>
      <c r="D3" s="30" t="s">
        <v>11</v>
      </c>
      <c r="E3" s="30"/>
      <c r="F3" s="31">
        <v>45299</v>
      </c>
      <c r="G3" s="32">
        <v>105</v>
      </c>
      <c r="H3" s="81">
        <v>45293</v>
      </c>
      <c r="I3" s="34">
        <v>290</v>
      </c>
      <c r="J3" s="30"/>
      <c r="K3" s="30" t="s">
        <v>35</v>
      </c>
      <c r="L3" s="30"/>
      <c r="M3" s="30"/>
      <c r="N3" s="30"/>
      <c r="O3" s="30" t="s">
        <v>35</v>
      </c>
      <c r="P3" s="30"/>
      <c r="Q3" s="34">
        <v>290</v>
      </c>
      <c r="R3" s="33">
        <v>45444</v>
      </c>
      <c r="S3" s="348">
        <v>45296</v>
      </c>
      <c r="T3" s="28"/>
      <c r="U3" s="28"/>
      <c r="V3" s="28"/>
      <c r="W3" s="28"/>
      <c r="X3" s="28"/>
      <c r="Y3" s="39" t="s">
        <v>8</v>
      </c>
      <c r="Z3" s="28"/>
    </row>
    <row r="4" spans="1:26" ht="15" thickBot="1" x14ac:dyDescent="0.35">
      <c r="A4" s="166" t="s">
        <v>13</v>
      </c>
      <c r="B4" s="30"/>
      <c r="C4" s="30"/>
      <c r="D4" s="30" t="s">
        <v>20</v>
      </c>
      <c r="E4" s="30"/>
      <c r="F4" s="32" t="s">
        <v>21</v>
      </c>
      <c r="G4" s="32">
        <v>106</v>
      </c>
      <c r="H4" s="81">
        <v>45295</v>
      </c>
      <c r="I4" s="34">
        <v>16400</v>
      </c>
      <c r="J4" s="34">
        <v>3280</v>
      </c>
      <c r="K4" s="33">
        <v>45306</v>
      </c>
      <c r="L4" s="33">
        <v>45301</v>
      </c>
      <c r="M4" s="40"/>
      <c r="N4" s="34">
        <v>3280</v>
      </c>
      <c r="O4" s="33">
        <v>45366</v>
      </c>
      <c r="P4" s="41">
        <v>45446</v>
      </c>
      <c r="Q4" s="34">
        <v>9840</v>
      </c>
      <c r="R4" s="33">
        <v>45444</v>
      </c>
      <c r="S4" s="90">
        <v>45443</v>
      </c>
      <c r="T4" s="28"/>
      <c r="U4" s="28"/>
      <c r="V4" s="28"/>
      <c r="W4" s="28"/>
      <c r="X4" s="28"/>
      <c r="Y4" s="42" t="s">
        <v>84</v>
      </c>
      <c r="Z4" s="28"/>
    </row>
    <row r="5" spans="1:26" ht="15" thickBot="1" x14ac:dyDescent="0.35">
      <c r="A5" s="166" t="s">
        <v>19</v>
      </c>
      <c r="B5" s="30"/>
      <c r="C5" s="30"/>
      <c r="D5" s="30" t="s">
        <v>20</v>
      </c>
      <c r="E5" s="30"/>
      <c r="F5" s="32" t="s">
        <v>21</v>
      </c>
      <c r="G5" s="32">
        <v>107</v>
      </c>
      <c r="H5" s="81">
        <v>45295</v>
      </c>
      <c r="I5" s="34">
        <v>15490</v>
      </c>
      <c r="J5" s="34">
        <v>3098</v>
      </c>
      <c r="K5" s="33">
        <v>45311</v>
      </c>
      <c r="L5" s="33">
        <v>45310</v>
      </c>
      <c r="M5" s="40"/>
      <c r="N5" s="34">
        <v>3098</v>
      </c>
      <c r="O5" s="33">
        <v>45366</v>
      </c>
      <c r="P5" s="43" t="s">
        <v>246</v>
      </c>
      <c r="Q5" s="34">
        <v>9294</v>
      </c>
      <c r="R5" s="33">
        <v>45444</v>
      </c>
      <c r="S5" s="90">
        <v>45436</v>
      </c>
      <c r="T5" s="28"/>
      <c r="U5" s="28"/>
      <c r="V5" s="28"/>
      <c r="W5" s="28"/>
      <c r="X5" s="28"/>
      <c r="Y5" s="44" t="s">
        <v>85</v>
      </c>
      <c r="Z5" s="28"/>
    </row>
    <row r="6" spans="1:26" ht="15" thickBot="1" x14ac:dyDescent="0.35">
      <c r="A6" s="166" t="s">
        <v>22</v>
      </c>
      <c r="B6" s="30"/>
      <c r="C6" s="30"/>
      <c r="D6" s="30" t="s">
        <v>20</v>
      </c>
      <c r="E6" s="30"/>
      <c r="F6" s="32" t="s">
        <v>21</v>
      </c>
      <c r="G6" s="32">
        <v>108</v>
      </c>
      <c r="H6" s="81">
        <v>45295</v>
      </c>
      <c r="I6" s="34">
        <v>16400</v>
      </c>
      <c r="J6" s="34">
        <v>3280</v>
      </c>
      <c r="K6" s="33">
        <v>45311</v>
      </c>
      <c r="L6" s="33">
        <v>45310</v>
      </c>
      <c r="M6" s="40"/>
      <c r="N6" s="34">
        <v>3280</v>
      </c>
      <c r="O6" s="33">
        <v>45366</v>
      </c>
      <c r="P6" s="45" t="s">
        <v>247</v>
      </c>
      <c r="Q6" s="34">
        <v>9840</v>
      </c>
      <c r="R6" s="33">
        <v>45444</v>
      </c>
      <c r="S6" s="90">
        <v>45443</v>
      </c>
      <c r="T6" s="28"/>
      <c r="U6" s="28"/>
      <c r="V6" s="28"/>
      <c r="W6" s="28"/>
      <c r="X6" s="28"/>
      <c r="Y6" s="28"/>
      <c r="Z6" s="28"/>
    </row>
    <row r="7" spans="1:26" ht="15" thickBot="1" x14ac:dyDescent="0.35">
      <c r="A7" s="166" t="s">
        <v>25</v>
      </c>
      <c r="B7" s="30"/>
      <c r="C7" s="30"/>
      <c r="D7" s="30" t="s">
        <v>20</v>
      </c>
      <c r="E7" s="30"/>
      <c r="F7" s="32" t="s">
        <v>21</v>
      </c>
      <c r="G7" s="32">
        <v>109</v>
      </c>
      <c r="H7" s="81">
        <v>45295</v>
      </c>
      <c r="I7" s="34">
        <v>11100</v>
      </c>
      <c r="J7" s="34">
        <v>2220</v>
      </c>
      <c r="K7" s="33">
        <v>45311</v>
      </c>
      <c r="L7" s="41">
        <v>45310</v>
      </c>
      <c r="M7" s="30"/>
      <c r="N7" s="34">
        <v>2220</v>
      </c>
      <c r="O7" s="33">
        <v>45366</v>
      </c>
      <c r="P7" s="43" t="s">
        <v>248</v>
      </c>
      <c r="Q7" s="34">
        <v>6660</v>
      </c>
      <c r="R7" s="33">
        <v>45444</v>
      </c>
      <c r="S7" s="99">
        <f>5000+1660</f>
        <v>6660</v>
      </c>
      <c r="T7" s="90">
        <v>45446</v>
      </c>
      <c r="U7" s="28"/>
      <c r="V7" s="28"/>
      <c r="W7" s="28"/>
      <c r="X7" s="28"/>
      <c r="Y7" s="46" t="s">
        <v>130</v>
      </c>
      <c r="Z7" s="28"/>
    </row>
    <row r="8" spans="1:26" ht="15" thickBot="1" x14ac:dyDescent="0.35">
      <c r="A8" s="166" t="s">
        <v>26</v>
      </c>
      <c r="B8" s="30"/>
      <c r="C8" s="30"/>
      <c r="D8" s="30" t="s">
        <v>20</v>
      </c>
      <c r="E8" s="30"/>
      <c r="F8" s="32" t="s">
        <v>21</v>
      </c>
      <c r="G8" s="32">
        <v>110</v>
      </c>
      <c r="H8" s="81">
        <v>45295</v>
      </c>
      <c r="I8" s="34">
        <v>6950</v>
      </c>
      <c r="J8" s="34">
        <v>1390</v>
      </c>
      <c r="K8" s="33">
        <v>45311</v>
      </c>
      <c r="L8" s="33">
        <v>45313</v>
      </c>
      <c r="M8" s="40"/>
      <c r="N8" s="34">
        <v>1390</v>
      </c>
      <c r="O8" s="33">
        <v>45366</v>
      </c>
      <c r="P8" s="43" t="s">
        <v>248</v>
      </c>
      <c r="Q8" s="34">
        <v>4170</v>
      </c>
      <c r="R8" s="33">
        <v>45444</v>
      </c>
      <c r="S8" s="348">
        <v>45450</v>
      </c>
      <c r="T8" s="28"/>
      <c r="U8" s="28"/>
      <c r="V8" s="28"/>
      <c r="W8" s="28"/>
      <c r="X8" s="28"/>
      <c r="Y8" s="28"/>
      <c r="Z8" s="28"/>
    </row>
    <row r="9" spans="1:26" ht="15" thickBot="1" x14ac:dyDescent="0.35">
      <c r="A9" s="166" t="s">
        <v>27</v>
      </c>
      <c r="B9" s="30"/>
      <c r="C9" s="30"/>
      <c r="D9" s="30" t="s">
        <v>28</v>
      </c>
      <c r="E9" s="30"/>
      <c r="F9" s="86">
        <v>45311</v>
      </c>
      <c r="G9" s="32">
        <v>111</v>
      </c>
      <c r="H9" s="81">
        <v>45295</v>
      </c>
      <c r="I9" s="34">
        <v>3300</v>
      </c>
      <c r="J9" s="34">
        <v>3300</v>
      </c>
      <c r="K9" s="33">
        <v>45299</v>
      </c>
      <c r="L9" s="30"/>
      <c r="M9" s="30"/>
      <c r="N9" s="30"/>
      <c r="O9" s="30" t="s">
        <v>35</v>
      </c>
      <c r="P9" s="30"/>
      <c r="Q9" s="34">
        <v>3300</v>
      </c>
      <c r="R9" s="33">
        <v>45505</v>
      </c>
      <c r="S9" s="33">
        <v>45413</v>
      </c>
      <c r="T9" s="28"/>
      <c r="U9" s="28"/>
      <c r="V9" s="28"/>
      <c r="W9" s="28"/>
      <c r="X9" s="28"/>
      <c r="Y9" s="28"/>
      <c r="Z9" s="28"/>
    </row>
    <row r="10" spans="1:26" ht="15" thickBot="1" x14ac:dyDescent="0.35">
      <c r="A10" s="166" t="s">
        <v>295</v>
      </c>
      <c r="B10" s="30"/>
      <c r="C10" s="30"/>
      <c r="D10" s="30" t="s">
        <v>29</v>
      </c>
      <c r="E10" s="30"/>
      <c r="F10" s="86">
        <v>45613</v>
      </c>
      <c r="G10" s="32">
        <v>112</v>
      </c>
      <c r="H10" s="81">
        <v>45296</v>
      </c>
      <c r="I10" s="34">
        <v>7418</v>
      </c>
      <c r="J10" s="34">
        <v>1483.6</v>
      </c>
      <c r="K10" s="33">
        <v>45311</v>
      </c>
      <c r="L10" s="79">
        <v>45303</v>
      </c>
      <c r="M10" s="30"/>
      <c r="N10" s="30"/>
      <c r="O10" s="30" t="s">
        <v>35</v>
      </c>
      <c r="P10" s="30"/>
      <c r="Q10" s="34">
        <v>5962.4</v>
      </c>
      <c r="R10" s="33">
        <v>45566</v>
      </c>
      <c r="S10" s="90">
        <v>45548</v>
      </c>
      <c r="T10" s="28" t="s">
        <v>114</v>
      </c>
      <c r="U10" s="28"/>
      <c r="V10" s="28"/>
      <c r="W10" s="28"/>
      <c r="X10" s="28"/>
      <c r="Y10" s="28"/>
      <c r="Z10" s="28"/>
    </row>
    <row r="11" spans="1:26" ht="15" customHeight="1" thickBot="1" x14ac:dyDescent="0.35">
      <c r="A11" s="166" t="s">
        <v>30</v>
      </c>
      <c r="B11" s="30"/>
      <c r="C11" s="30"/>
      <c r="D11" s="30" t="s">
        <v>31</v>
      </c>
      <c r="E11" s="30"/>
      <c r="F11" s="86">
        <v>45501</v>
      </c>
      <c r="G11" s="32">
        <v>113</v>
      </c>
      <c r="H11" s="81">
        <v>45299</v>
      </c>
      <c r="I11" s="34">
        <v>6890</v>
      </c>
      <c r="J11" s="34">
        <v>1378</v>
      </c>
      <c r="K11" s="33">
        <v>45311</v>
      </c>
      <c r="L11" s="33">
        <v>45309</v>
      </c>
      <c r="M11" s="40"/>
      <c r="N11" s="30"/>
      <c r="O11" s="30" t="s">
        <v>35</v>
      </c>
      <c r="P11" s="30"/>
      <c r="Q11" s="34">
        <v>5632</v>
      </c>
      <c r="R11" s="33">
        <v>45444</v>
      </c>
      <c r="S11" s="99">
        <f>5512+120</f>
        <v>5632</v>
      </c>
      <c r="T11" s="94" t="s">
        <v>360</v>
      </c>
      <c r="U11" s="30" t="s">
        <v>474</v>
      </c>
      <c r="V11" s="167" t="s">
        <v>338</v>
      </c>
      <c r="W11" s="28"/>
      <c r="X11" s="28"/>
      <c r="Y11" s="28"/>
      <c r="Z11" s="28"/>
    </row>
    <row r="12" spans="1:26" ht="15" thickBot="1" x14ac:dyDescent="0.35">
      <c r="A12" s="166" t="s">
        <v>32</v>
      </c>
      <c r="B12" s="30"/>
      <c r="C12" s="30"/>
      <c r="D12" s="30" t="s">
        <v>33</v>
      </c>
      <c r="E12" s="30"/>
      <c r="F12" s="86">
        <v>45353</v>
      </c>
      <c r="G12" s="32">
        <v>114</v>
      </c>
      <c r="H12" s="81">
        <v>45303</v>
      </c>
      <c r="I12" s="34">
        <v>2049</v>
      </c>
      <c r="J12" s="30"/>
      <c r="K12" s="30" t="s">
        <v>35</v>
      </c>
      <c r="L12" s="30"/>
      <c r="M12" s="30"/>
      <c r="N12" s="30"/>
      <c r="O12" s="30" t="s">
        <v>35</v>
      </c>
      <c r="P12" s="30"/>
      <c r="Q12" s="34">
        <v>2049</v>
      </c>
      <c r="R12" s="33">
        <v>45311</v>
      </c>
      <c r="S12" s="33">
        <v>45307</v>
      </c>
      <c r="T12" s="28"/>
      <c r="U12" s="28"/>
      <c r="V12" s="28"/>
      <c r="W12" s="28"/>
      <c r="X12" s="28"/>
      <c r="Y12" s="28"/>
      <c r="Z12" s="28"/>
    </row>
    <row r="13" spans="1:26" ht="15" thickBot="1" x14ac:dyDescent="0.35">
      <c r="A13" s="166" t="s">
        <v>34</v>
      </c>
      <c r="B13" s="30"/>
      <c r="C13" s="30"/>
      <c r="D13" s="30" t="s">
        <v>33</v>
      </c>
      <c r="E13" s="30"/>
      <c r="F13" s="86">
        <v>45300</v>
      </c>
      <c r="G13" s="32">
        <v>115</v>
      </c>
      <c r="H13" s="81">
        <v>45306</v>
      </c>
      <c r="I13" s="34">
        <v>2569</v>
      </c>
      <c r="J13" s="34">
        <v>513.79999999999995</v>
      </c>
      <c r="K13" s="33">
        <v>45311</v>
      </c>
      <c r="L13" s="33">
        <v>45309</v>
      </c>
      <c r="M13" s="30"/>
      <c r="N13" s="30"/>
      <c r="O13" s="30" t="s">
        <v>35</v>
      </c>
      <c r="P13" s="30"/>
      <c r="Q13" s="34">
        <v>2055.1999999999998</v>
      </c>
      <c r="R13" s="33">
        <v>45566</v>
      </c>
      <c r="S13" s="90">
        <v>45540</v>
      </c>
      <c r="T13" s="28" t="s">
        <v>363</v>
      </c>
      <c r="U13" s="28"/>
      <c r="V13" s="28"/>
      <c r="W13" s="28"/>
      <c r="X13" s="28"/>
      <c r="Y13" s="28"/>
      <c r="Z13" s="28"/>
    </row>
    <row r="14" spans="1:26" ht="15" thickBot="1" x14ac:dyDescent="0.35">
      <c r="A14" s="166" t="s">
        <v>36</v>
      </c>
      <c r="B14" s="30" t="s">
        <v>15</v>
      </c>
      <c r="C14" s="30"/>
      <c r="D14" s="30" t="s">
        <v>37</v>
      </c>
      <c r="E14" s="30"/>
      <c r="F14" s="86">
        <v>45552</v>
      </c>
      <c r="G14" s="32">
        <v>116</v>
      </c>
      <c r="H14" s="81">
        <v>45307</v>
      </c>
      <c r="I14" s="34">
        <v>878.4</v>
      </c>
      <c r="J14" s="34">
        <v>416</v>
      </c>
      <c r="K14" s="30"/>
      <c r="L14" s="33">
        <v>45314</v>
      </c>
      <c r="M14" s="40"/>
      <c r="N14" s="30"/>
      <c r="O14" s="30" t="s">
        <v>35</v>
      </c>
      <c r="P14" s="30"/>
      <c r="Q14" s="48">
        <v>462.4</v>
      </c>
      <c r="R14" s="49">
        <v>45293</v>
      </c>
      <c r="S14" s="33">
        <v>45537</v>
      </c>
      <c r="T14" s="46" t="s">
        <v>117</v>
      </c>
      <c r="U14" s="28"/>
      <c r="V14" s="38">
        <v>878.4</v>
      </c>
      <c r="W14" s="28"/>
      <c r="X14" s="28"/>
      <c r="Y14" s="28"/>
      <c r="Z14" s="28"/>
    </row>
    <row r="15" spans="1:26" ht="15" thickBot="1" x14ac:dyDescent="0.35">
      <c r="A15" s="166" t="s">
        <v>38</v>
      </c>
      <c r="B15" s="30" t="s">
        <v>15</v>
      </c>
      <c r="C15" s="30"/>
      <c r="D15" s="30" t="s">
        <v>37</v>
      </c>
      <c r="E15" s="30"/>
      <c r="F15" s="86">
        <v>45552</v>
      </c>
      <c r="G15" s="32">
        <v>117</v>
      </c>
      <c r="H15" s="81">
        <v>45307</v>
      </c>
      <c r="I15" s="34">
        <v>878.4</v>
      </c>
      <c r="J15" s="34">
        <v>416</v>
      </c>
      <c r="K15" s="30" t="s">
        <v>35</v>
      </c>
      <c r="L15" s="33">
        <v>45314</v>
      </c>
      <c r="M15" s="40"/>
      <c r="N15" s="30"/>
      <c r="O15" s="30" t="s">
        <v>35</v>
      </c>
      <c r="P15" s="30"/>
      <c r="Q15" s="48">
        <v>426.4</v>
      </c>
      <c r="R15" s="49">
        <v>45293</v>
      </c>
      <c r="S15" s="33">
        <v>45506</v>
      </c>
      <c r="T15" s="46" t="s">
        <v>117</v>
      </c>
      <c r="U15" s="30"/>
      <c r="V15" s="34">
        <v>842.4</v>
      </c>
      <c r="W15" s="34">
        <v>36</v>
      </c>
      <c r="X15" s="33">
        <v>45599</v>
      </c>
      <c r="Y15" s="40"/>
      <c r="Z15" s="28"/>
    </row>
    <row r="16" spans="1:26" ht="15" thickBot="1" x14ac:dyDescent="0.35">
      <c r="A16" s="166" t="s">
        <v>39</v>
      </c>
      <c r="B16" s="30"/>
      <c r="C16" s="30"/>
      <c r="D16" s="30" t="s">
        <v>40</v>
      </c>
      <c r="E16" s="30"/>
      <c r="F16" s="86">
        <v>45586</v>
      </c>
      <c r="G16" s="32">
        <v>118</v>
      </c>
      <c r="H16" s="81">
        <v>45308</v>
      </c>
      <c r="I16" s="34">
        <v>2420</v>
      </c>
      <c r="J16" s="34">
        <v>484</v>
      </c>
      <c r="K16" s="33">
        <v>45323</v>
      </c>
      <c r="L16" s="33">
        <v>45313</v>
      </c>
      <c r="M16" s="30"/>
      <c r="N16" s="30"/>
      <c r="O16" s="30" t="s">
        <v>35</v>
      </c>
      <c r="P16" s="30"/>
      <c r="Q16" s="34">
        <v>1936</v>
      </c>
      <c r="R16" s="33">
        <v>45574</v>
      </c>
      <c r="S16" s="90">
        <v>45540</v>
      </c>
      <c r="T16" s="28" t="s">
        <v>363</v>
      </c>
      <c r="U16" s="28"/>
      <c r="V16" s="28"/>
      <c r="W16" s="28"/>
      <c r="X16" s="28"/>
      <c r="Y16" s="28"/>
      <c r="Z16" s="28"/>
    </row>
    <row r="17" spans="1:26" ht="15" thickBot="1" x14ac:dyDescent="0.35">
      <c r="A17" s="166" t="s">
        <v>337</v>
      </c>
      <c r="B17" s="30"/>
      <c r="C17" s="30"/>
      <c r="D17" s="30" t="s">
        <v>249</v>
      </c>
      <c r="E17" s="30"/>
      <c r="F17" s="86">
        <v>45551</v>
      </c>
      <c r="G17" s="32">
        <v>119</v>
      </c>
      <c r="H17" s="81">
        <v>45309</v>
      </c>
      <c r="I17" s="34">
        <v>4119</v>
      </c>
      <c r="J17" s="34">
        <v>823.8</v>
      </c>
      <c r="K17" s="33">
        <v>45293</v>
      </c>
      <c r="L17" s="41">
        <v>45362</v>
      </c>
      <c r="M17" s="136"/>
      <c r="N17" s="136"/>
      <c r="O17" s="136" t="s">
        <v>35</v>
      </c>
      <c r="P17" s="136"/>
      <c r="Q17" s="141">
        <v>3295.2</v>
      </c>
      <c r="R17" s="137">
        <v>45573</v>
      </c>
      <c r="S17" s="28" t="s">
        <v>689</v>
      </c>
      <c r="T17" s="28"/>
      <c r="U17" s="28" t="s">
        <v>336</v>
      </c>
      <c r="V17" s="28"/>
      <c r="W17" s="28"/>
      <c r="X17" s="28"/>
      <c r="Y17" s="28"/>
      <c r="Z17" s="28"/>
    </row>
    <row r="18" spans="1:26" ht="15" thickBot="1" x14ac:dyDescent="0.35">
      <c r="A18" s="166" t="s">
        <v>41</v>
      </c>
      <c r="B18" s="30" t="s">
        <v>15</v>
      </c>
      <c r="C18" s="30"/>
      <c r="D18" s="30" t="s">
        <v>42</v>
      </c>
      <c r="E18" s="30"/>
      <c r="F18" s="86">
        <v>45352</v>
      </c>
      <c r="G18" s="32">
        <v>120</v>
      </c>
      <c r="H18" s="81">
        <v>45310</v>
      </c>
      <c r="I18" s="34">
        <v>1093</v>
      </c>
      <c r="J18" s="34">
        <v>339.2</v>
      </c>
      <c r="K18" s="33">
        <v>45293</v>
      </c>
      <c r="L18" s="41">
        <v>45344</v>
      </c>
      <c r="M18" s="30"/>
      <c r="N18" s="30"/>
      <c r="O18" s="30" t="s">
        <v>35</v>
      </c>
      <c r="P18" s="30"/>
      <c r="Q18" s="34">
        <v>339.2</v>
      </c>
      <c r="R18" s="33">
        <v>45293</v>
      </c>
      <c r="S18" s="33">
        <v>45344</v>
      </c>
      <c r="T18" s="50" t="s">
        <v>117</v>
      </c>
      <c r="U18" s="28"/>
      <c r="V18" s="28"/>
      <c r="W18" s="28"/>
      <c r="X18" s="28"/>
      <c r="Y18" s="28"/>
      <c r="Z18" s="28"/>
    </row>
    <row r="19" spans="1:26" ht="15" thickBot="1" x14ac:dyDescent="0.35">
      <c r="A19" s="166" t="s">
        <v>43</v>
      </c>
      <c r="B19" s="30"/>
      <c r="C19" s="30"/>
      <c r="D19" s="30" t="s">
        <v>44</v>
      </c>
      <c r="E19" s="30"/>
      <c r="F19" s="86">
        <v>45374</v>
      </c>
      <c r="G19" s="32">
        <v>121</v>
      </c>
      <c r="H19" s="81">
        <v>45310</v>
      </c>
      <c r="I19" s="34">
        <v>380</v>
      </c>
      <c r="J19" s="30"/>
      <c r="K19" s="30" t="s">
        <v>35</v>
      </c>
      <c r="L19" s="30"/>
      <c r="M19" s="30"/>
      <c r="N19" s="30"/>
      <c r="O19" s="30" t="s">
        <v>35</v>
      </c>
      <c r="P19" s="30"/>
      <c r="Q19" s="34">
        <v>380</v>
      </c>
      <c r="R19" s="33">
        <v>45293</v>
      </c>
      <c r="S19" s="33">
        <v>45313</v>
      </c>
      <c r="T19" s="28"/>
      <c r="U19" s="28"/>
      <c r="V19" s="28"/>
      <c r="W19" s="28"/>
      <c r="X19" s="28"/>
      <c r="Y19" s="28"/>
      <c r="Z19" s="28"/>
    </row>
    <row r="20" spans="1:26" ht="15" thickBot="1" x14ac:dyDescent="0.35">
      <c r="A20" s="166" t="s">
        <v>45</v>
      </c>
      <c r="B20" s="30"/>
      <c r="C20" s="30"/>
      <c r="D20" s="30" t="s">
        <v>46</v>
      </c>
      <c r="E20" s="30"/>
      <c r="F20" s="86">
        <v>45369</v>
      </c>
      <c r="G20" s="32">
        <v>122</v>
      </c>
      <c r="H20" s="81">
        <v>45313</v>
      </c>
      <c r="I20" s="34">
        <v>990</v>
      </c>
      <c r="J20" s="30"/>
      <c r="K20" s="30" t="s">
        <v>35</v>
      </c>
      <c r="L20" s="30"/>
      <c r="M20" s="30"/>
      <c r="N20" s="30"/>
      <c r="O20" s="30" t="s">
        <v>35</v>
      </c>
      <c r="P20" s="30"/>
      <c r="Q20" s="34">
        <v>990</v>
      </c>
      <c r="R20" s="33">
        <v>45567</v>
      </c>
      <c r="S20" s="33">
        <v>45315</v>
      </c>
      <c r="T20" s="28"/>
      <c r="U20" s="28"/>
      <c r="V20" s="28"/>
      <c r="W20" s="28"/>
      <c r="X20" s="28"/>
      <c r="Y20" s="28"/>
      <c r="Z20" s="28"/>
    </row>
    <row r="21" spans="1:26" ht="15" thickBot="1" x14ac:dyDescent="0.35">
      <c r="A21" s="168" t="s">
        <v>47</v>
      </c>
      <c r="B21" s="51" t="s">
        <v>15</v>
      </c>
      <c r="C21" s="51"/>
      <c r="D21" s="51" t="s">
        <v>48</v>
      </c>
      <c r="E21" s="51"/>
      <c r="F21" s="88">
        <v>45355</v>
      </c>
      <c r="G21" s="52">
        <v>123</v>
      </c>
      <c r="H21" s="83">
        <v>45315</v>
      </c>
      <c r="I21" s="53">
        <v>2244</v>
      </c>
      <c r="J21" s="53">
        <v>695.6</v>
      </c>
      <c r="K21" s="28"/>
      <c r="L21" s="50" t="s">
        <v>112</v>
      </c>
      <c r="M21" s="28"/>
      <c r="N21" s="28"/>
      <c r="O21" s="28" t="s">
        <v>35</v>
      </c>
      <c r="P21" s="28"/>
      <c r="Q21" s="38">
        <v>695.6</v>
      </c>
      <c r="R21" s="28"/>
      <c r="S21" s="28"/>
      <c r="T21" s="50" t="s">
        <v>117</v>
      </c>
      <c r="U21" s="28"/>
      <c r="V21" s="28"/>
      <c r="W21" s="28"/>
      <c r="X21" s="28"/>
      <c r="Y21" s="28"/>
      <c r="Z21" s="28"/>
    </row>
    <row r="22" spans="1:26" ht="15" thickBot="1" x14ac:dyDescent="0.35">
      <c r="A22" s="184" t="s">
        <v>49</v>
      </c>
      <c r="B22" s="114" t="s">
        <v>15</v>
      </c>
      <c r="C22" s="114"/>
      <c r="D22" s="114" t="s">
        <v>50</v>
      </c>
      <c r="E22" s="114"/>
      <c r="F22" s="313">
        <v>45662</v>
      </c>
      <c r="G22" s="117">
        <v>124</v>
      </c>
      <c r="H22" s="118">
        <v>45316</v>
      </c>
      <c r="I22" s="314" t="s">
        <v>250</v>
      </c>
      <c r="J22" s="48">
        <v>351.61</v>
      </c>
      <c r="K22" s="49">
        <v>45332</v>
      </c>
      <c r="L22" s="114"/>
      <c r="M22" s="114"/>
      <c r="N22" s="114"/>
      <c r="O22" s="114" t="s">
        <v>35</v>
      </c>
      <c r="P22" s="114"/>
      <c r="Q22" s="48">
        <v>1406.4</v>
      </c>
      <c r="R22" s="49">
        <v>45303</v>
      </c>
      <c r="S22" s="114">
        <v>1662.2</v>
      </c>
      <c r="T22" s="90">
        <v>45660</v>
      </c>
      <c r="U22" s="28" t="s">
        <v>685</v>
      </c>
      <c r="V22" s="28"/>
      <c r="W22" s="28"/>
      <c r="X22" s="28"/>
      <c r="Y22" s="28"/>
      <c r="Z22" s="28"/>
    </row>
    <row r="23" spans="1:26" ht="15" thickBot="1" x14ac:dyDescent="0.35">
      <c r="A23" s="166" t="s">
        <v>51</v>
      </c>
      <c r="B23" s="30"/>
      <c r="C23" s="30"/>
      <c r="D23" s="30" t="s">
        <v>52</v>
      </c>
      <c r="E23" s="30"/>
      <c r="F23" s="86">
        <v>45503</v>
      </c>
      <c r="G23" s="32">
        <v>125</v>
      </c>
      <c r="H23" s="81">
        <v>45317</v>
      </c>
      <c r="I23" s="34">
        <v>1100</v>
      </c>
      <c r="J23" s="34">
        <v>0</v>
      </c>
      <c r="K23" s="33">
        <v>45337</v>
      </c>
      <c r="L23" s="30"/>
      <c r="M23" s="30"/>
      <c r="N23" s="30"/>
      <c r="O23" s="30" t="s">
        <v>35</v>
      </c>
      <c r="P23" s="30"/>
      <c r="Q23" s="34">
        <v>1100</v>
      </c>
      <c r="R23" s="33">
        <v>45571</v>
      </c>
      <c r="S23" s="33">
        <v>45324</v>
      </c>
      <c r="T23" s="40"/>
      <c r="U23" s="28"/>
      <c r="V23" s="28"/>
      <c r="W23" s="28"/>
      <c r="X23" s="28"/>
      <c r="Y23" s="28"/>
      <c r="Z23" s="28"/>
    </row>
    <row r="24" spans="1:26" ht="15" thickBot="1" x14ac:dyDescent="0.35">
      <c r="A24" s="166" t="s">
        <v>53</v>
      </c>
      <c r="B24" s="30"/>
      <c r="C24" s="30"/>
      <c r="D24" s="30" t="s">
        <v>54</v>
      </c>
      <c r="E24" s="30"/>
      <c r="F24" s="86">
        <v>45345</v>
      </c>
      <c r="G24" s="32">
        <v>126</v>
      </c>
      <c r="H24" s="81">
        <v>45317</v>
      </c>
      <c r="I24" s="34">
        <v>1920</v>
      </c>
      <c r="J24" s="30"/>
      <c r="K24" s="30" t="s">
        <v>35</v>
      </c>
      <c r="L24" s="30"/>
      <c r="M24" s="30"/>
      <c r="N24" s="30"/>
      <c r="O24" s="30" t="s">
        <v>35</v>
      </c>
      <c r="P24" s="30"/>
      <c r="Q24" s="34">
        <v>1920</v>
      </c>
      <c r="R24" s="55">
        <v>45414</v>
      </c>
      <c r="S24" s="33">
        <v>45336</v>
      </c>
      <c r="T24" s="50" t="s">
        <v>114</v>
      </c>
      <c r="U24" s="28"/>
      <c r="V24" s="28"/>
      <c r="W24" s="28"/>
      <c r="X24" s="28"/>
      <c r="Y24" s="28"/>
      <c r="Z24" s="28"/>
    </row>
    <row r="25" spans="1:26" ht="15" thickBot="1" x14ac:dyDescent="0.35">
      <c r="A25" s="164" t="s">
        <v>55</v>
      </c>
      <c r="B25" s="28" t="s">
        <v>15</v>
      </c>
      <c r="C25" s="28"/>
      <c r="D25" s="28" t="s">
        <v>56</v>
      </c>
      <c r="E25" s="28"/>
      <c r="F25" s="87">
        <v>45463</v>
      </c>
      <c r="G25" s="29">
        <v>127</v>
      </c>
      <c r="H25" s="82">
        <v>45316</v>
      </c>
      <c r="I25" s="38">
        <v>830</v>
      </c>
      <c r="J25" s="28"/>
      <c r="K25" s="28" t="s">
        <v>35</v>
      </c>
      <c r="L25" s="28"/>
      <c r="M25" s="28"/>
      <c r="N25" s="28"/>
      <c r="O25" s="28" t="s">
        <v>35</v>
      </c>
      <c r="P25" s="28"/>
      <c r="Q25" s="38">
        <v>332</v>
      </c>
      <c r="R25" s="37">
        <v>45567</v>
      </c>
      <c r="S25" s="28"/>
      <c r="T25" s="28"/>
      <c r="U25" s="28"/>
      <c r="V25" s="28"/>
      <c r="W25" s="28"/>
      <c r="X25" s="28"/>
      <c r="Y25" s="28"/>
      <c r="Z25" s="28"/>
    </row>
    <row r="26" spans="1:26" ht="15" thickBot="1" x14ac:dyDescent="0.35">
      <c r="A26" s="166" t="s">
        <v>57</v>
      </c>
      <c r="B26" s="30" t="s">
        <v>15</v>
      </c>
      <c r="C26" s="30"/>
      <c r="D26" s="30" t="s">
        <v>58</v>
      </c>
      <c r="E26" s="30"/>
      <c r="F26" s="86">
        <v>45448</v>
      </c>
      <c r="G26" s="32">
        <v>128</v>
      </c>
      <c r="H26" s="81">
        <v>45320</v>
      </c>
      <c r="I26" s="35" t="s">
        <v>252</v>
      </c>
      <c r="J26" s="34">
        <v>960</v>
      </c>
      <c r="K26" s="30"/>
      <c r="L26" s="30"/>
      <c r="M26" s="30"/>
      <c r="N26" s="34">
        <v>192</v>
      </c>
      <c r="O26" s="33">
        <v>45337</v>
      </c>
      <c r="P26" s="56">
        <v>45330</v>
      </c>
      <c r="Q26" s="34">
        <v>768</v>
      </c>
      <c r="R26" s="33">
        <v>45327</v>
      </c>
      <c r="S26" s="56">
        <v>45394</v>
      </c>
      <c r="T26" s="28"/>
      <c r="U26" s="28"/>
      <c r="V26" s="28"/>
      <c r="W26" s="28"/>
      <c r="X26" s="28"/>
      <c r="Y26" s="28"/>
      <c r="Z26" s="28"/>
    </row>
    <row r="27" spans="1:26" ht="15" thickBot="1" x14ac:dyDescent="0.35">
      <c r="A27" s="166" t="s">
        <v>59</v>
      </c>
      <c r="B27" s="30" t="s">
        <v>15</v>
      </c>
      <c r="C27" s="30"/>
      <c r="D27" s="30" t="s">
        <v>37</v>
      </c>
      <c r="E27" s="30"/>
      <c r="F27" s="86">
        <v>45500</v>
      </c>
      <c r="G27" s="32">
        <v>129</v>
      </c>
      <c r="H27" s="81">
        <v>45329</v>
      </c>
      <c r="I27" s="34">
        <v>900</v>
      </c>
      <c r="J27" s="34">
        <v>360</v>
      </c>
      <c r="K27" s="30" t="s">
        <v>35</v>
      </c>
      <c r="L27" s="30"/>
      <c r="M27" s="30"/>
      <c r="N27" s="30"/>
      <c r="O27" s="30" t="s">
        <v>35</v>
      </c>
      <c r="P27" s="30"/>
      <c r="Q27" s="34">
        <v>360</v>
      </c>
      <c r="R27" s="33">
        <v>45342</v>
      </c>
      <c r="S27" s="33" t="s">
        <v>339</v>
      </c>
      <c r="T27" s="40"/>
      <c r="U27" s="28"/>
      <c r="V27" s="28"/>
      <c r="W27" s="28"/>
      <c r="X27" s="28"/>
      <c r="Y27" s="28"/>
      <c r="Z27" s="28"/>
    </row>
    <row r="28" spans="1:26" ht="15" thickBot="1" x14ac:dyDescent="0.35">
      <c r="A28" s="166" t="s">
        <v>60</v>
      </c>
      <c r="B28" s="30"/>
      <c r="C28" s="30"/>
      <c r="D28" s="30" t="s">
        <v>61</v>
      </c>
      <c r="E28" s="30"/>
      <c r="F28" s="86">
        <v>45350</v>
      </c>
      <c r="G28" s="32">
        <v>130</v>
      </c>
      <c r="H28" s="81">
        <v>45331</v>
      </c>
      <c r="I28" s="34">
        <v>1310</v>
      </c>
      <c r="J28" s="34">
        <v>710</v>
      </c>
      <c r="K28" s="30"/>
      <c r="L28" s="33"/>
      <c r="M28" s="30"/>
      <c r="N28" s="30"/>
      <c r="O28" s="30" t="s">
        <v>35</v>
      </c>
      <c r="P28" s="30"/>
      <c r="Q28" s="34">
        <v>600</v>
      </c>
      <c r="R28" s="33">
        <v>45337</v>
      </c>
      <c r="S28" s="348">
        <v>45345</v>
      </c>
      <c r="T28" s="28"/>
      <c r="U28" s="28"/>
      <c r="V28" s="28"/>
      <c r="W28" s="28"/>
      <c r="X28" s="28"/>
      <c r="Y28" s="28"/>
      <c r="Z28" s="28"/>
    </row>
    <row r="29" spans="1:26" ht="15" thickBot="1" x14ac:dyDescent="0.35">
      <c r="A29" s="166" t="s">
        <v>14</v>
      </c>
      <c r="B29" s="30" t="s">
        <v>15</v>
      </c>
      <c r="C29" s="33">
        <v>45414</v>
      </c>
      <c r="D29" s="30" t="s">
        <v>17</v>
      </c>
      <c r="E29" s="30"/>
      <c r="F29" s="86">
        <v>45474</v>
      </c>
      <c r="G29" s="32">
        <v>131</v>
      </c>
      <c r="H29" s="81">
        <v>45331</v>
      </c>
      <c r="I29" s="34">
        <v>633</v>
      </c>
      <c r="J29" s="30"/>
      <c r="K29" s="30" t="s">
        <v>35</v>
      </c>
      <c r="L29" s="30"/>
      <c r="M29" s="30"/>
      <c r="N29" s="30"/>
      <c r="O29" s="30" t="s">
        <v>35</v>
      </c>
      <c r="P29" s="30"/>
      <c r="Q29" s="34">
        <v>254</v>
      </c>
      <c r="R29" s="33">
        <v>45345</v>
      </c>
      <c r="S29" s="33">
        <v>45342</v>
      </c>
      <c r="T29" s="50" t="s">
        <v>114</v>
      </c>
      <c r="U29" s="28"/>
      <c r="V29" s="28"/>
      <c r="W29" s="28"/>
      <c r="X29" s="28"/>
      <c r="Y29" s="28"/>
      <c r="Z29" s="28"/>
    </row>
    <row r="30" spans="1:26" ht="15" thickBot="1" x14ac:dyDescent="0.35">
      <c r="A30" s="166" t="s">
        <v>62</v>
      </c>
      <c r="B30" s="30"/>
      <c r="C30" s="30"/>
      <c r="D30" s="30" t="s">
        <v>63</v>
      </c>
      <c r="E30" s="30"/>
      <c r="F30" s="86">
        <v>45480</v>
      </c>
      <c r="G30" s="32">
        <v>132</v>
      </c>
      <c r="H30" s="81">
        <v>45333</v>
      </c>
      <c r="I30" s="34">
        <v>910</v>
      </c>
      <c r="J30" s="34">
        <v>182</v>
      </c>
      <c r="K30" s="33">
        <v>45348</v>
      </c>
      <c r="L30" s="40"/>
      <c r="M30" s="30"/>
      <c r="N30" s="30"/>
      <c r="O30" s="30" t="s">
        <v>35</v>
      </c>
      <c r="P30" s="30"/>
      <c r="Q30" s="34">
        <v>728</v>
      </c>
      <c r="R30" s="33">
        <v>45479</v>
      </c>
      <c r="S30" s="33">
        <v>45348</v>
      </c>
      <c r="T30" s="34">
        <v>910</v>
      </c>
      <c r="U30" s="40" t="s">
        <v>114</v>
      </c>
      <c r="V30" s="28"/>
      <c r="W30" s="28"/>
      <c r="X30" s="28"/>
      <c r="Y30" s="28"/>
      <c r="Z30" s="28"/>
    </row>
    <row r="31" spans="1:26" ht="15" thickBot="1" x14ac:dyDescent="0.35">
      <c r="A31" s="166" t="s">
        <v>64</v>
      </c>
      <c r="B31" s="30"/>
      <c r="C31" s="30"/>
      <c r="D31" s="30" t="s">
        <v>63</v>
      </c>
      <c r="E31" s="30"/>
      <c r="F31" s="86">
        <v>45480</v>
      </c>
      <c r="G31" s="32">
        <v>133</v>
      </c>
      <c r="H31" s="81">
        <v>45333</v>
      </c>
      <c r="I31" s="34">
        <v>910</v>
      </c>
      <c r="J31" s="34">
        <v>182</v>
      </c>
      <c r="K31" s="33">
        <v>45348</v>
      </c>
      <c r="L31" s="41">
        <v>45338</v>
      </c>
      <c r="M31" s="30"/>
      <c r="N31" s="30"/>
      <c r="O31" s="30"/>
      <c r="P31" s="30"/>
      <c r="Q31" s="34">
        <v>728</v>
      </c>
      <c r="R31" s="33">
        <v>45479</v>
      </c>
      <c r="S31" s="90">
        <v>45433</v>
      </c>
      <c r="T31" s="91" t="s">
        <v>140</v>
      </c>
      <c r="U31" s="28"/>
      <c r="V31" s="28"/>
      <c r="W31" s="28"/>
      <c r="X31" s="28"/>
      <c r="Y31" s="28"/>
      <c r="Z31" s="28"/>
    </row>
    <row r="32" spans="1:26" ht="15" customHeight="1" thickBot="1" x14ac:dyDescent="0.35">
      <c r="A32" s="166" t="s">
        <v>65</v>
      </c>
      <c r="B32" s="30"/>
      <c r="C32" s="30"/>
      <c r="D32" s="57" t="s">
        <v>66</v>
      </c>
      <c r="E32" s="30"/>
      <c r="F32" s="32" t="s">
        <v>681</v>
      </c>
      <c r="G32" s="32">
        <v>134</v>
      </c>
      <c r="H32" s="81">
        <v>45336</v>
      </c>
      <c r="I32" s="34">
        <v>2960</v>
      </c>
      <c r="J32" s="34">
        <v>290</v>
      </c>
      <c r="K32" s="33">
        <v>45366</v>
      </c>
      <c r="L32" s="41">
        <v>45369</v>
      </c>
      <c r="M32" s="28" t="s">
        <v>118</v>
      </c>
      <c r="N32" s="34">
        <v>1160</v>
      </c>
      <c r="O32" s="33">
        <v>45550</v>
      </c>
      <c r="P32" s="30"/>
      <c r="Q32" s="34">
        <v>340</v>
      </c>
      <c r="R32" s="33">
        <v>45453</v>
      </c>
      <c r="S32" s="90">
        <v>45453</v>
      </c>
      <c r="T32" s="91" t="s">
        <v>140</v>
      </c>
      <c r="U32" s="38">
        <v>1360</v>
      </c>
      <c r="V32" s="47" t="s">
        <v>253</v>
      </c>
      <c r="W32" s="28"/>
      <c r="X32" s="28"/>
      <c r="Y32" s="28"/>
      <c r="Z32" s="28"/>
    </row>
    <row r="33" spans="1:26" ht="15" thickBot="1" x14ac:dyDescent="0.35">
      <c r="A33" s="166" t="s">
        <v>67</v>
      </c>
      <c r="B33" s="30"/>
      <c r="C33" s="30"/>
      <c r="D33" s="30" t="s">
        <v>254</v>
      </c>
      <c r="E33" s="30"/>
      <c r="F33" s="31">
        <v>45489</v>
      </c>
      <c r="G33" s="32">
        <v>135</v>
      </c>
      <c r="H33" s="81">
        <v>45336</v>
      </c>
      <c r="I33" s="34">
        <v>1310</v>
      </c>
      <c r="J33" s="34">
        <v>262</v>
      </c>
      <c r="K33" s="33">
        <v>45350</v>
      </c>
      <c r="L33" s="41">
        <v>45599</v>
      </c>
      <c r="M33" s="50" t="s">
        <v>118</v>
      </c>
      <c r="N33" s="30"/>
      <c r="O33" s="30" t="s">
        <v>35</v>
      </c>
      <c r="P33" s="30"/>
      <c r="Q33" s="34">
        <v>1048</v>
      </c>
      <c r="R33" s="33">
        <v>45297</v>
      </c>
      <c r="S33" s="75">
        <v>45446</v>
      </c>
      <c r="T33" s="28"/>
      <c r="U33" s="28"/>
      <c r="V33" s="28"/>
      <c r="W33" s="28"/>
      <c r="X33" s="28"/>
      <c r="Y33" s="28"/>
      <c r="Z33" s="28"/>
    </row>
    <row r="34" spans="1:26" ht="15" thickBot="1" x14ac:dyDescent="0.35">
      <c r="A34" s="166" t="s">
        <v>68</v>
      </c>
      <c r="B34" s="30"/>
      <c r="C34" s="30"/>
      <c r="D34" s="30" t="s">
        <v>255</v>
      </c>
      <c r="E34" s="30" t="s">
        <v>106</v>
      </c>
      <c r="F34" s="31">
        <v>45462</v>
      </c>
      <c r="G34" s="32">
        <v>136</v>
      </c>
      <c r="H34" s="81">
        <v>45336</v>
      </c>
      <c r="I34" s="34">
        <v>990</v>
      </c>
      <c r="J34" s="34">
        <v>198</v>
      </c>
      <c r="K34" s="33">
        <v>45348</v>
      </c>
      <c r="L34" s="40"/>
      <c r="M34" s="28"/>
      <c r="N34" s="28"/>
      <c r="O34" s="28" t="s">
        <v>35</v>
      </c>
      <c r="P34" s="28"/>
      <c r="Q34" s="38">
        <v>792</v>
      </c>
      <c r="R34" s="37">
        <v>45570</v>
      </c>
      <c r="S34" s="28"/>
      <c r="T34" s="28"/>
      <c r="U34" s="28"/>
      <c r="V34" s="28"/>
      <c r="W34" s="28"/>
      <c r="X34" s="28"/>
      <c r="Y34" s="28"/>
      <c r="Z34" s="28"/>
    </row>
    <row r="35" spans="1:26" ht="15" thickBot="1" x14ac:dyDescent="0.35">
      <c r="A35" s="166" t="s">
        <v>69</v>
      </c>
      <c r="B35" s="30"/>
      <c r="C35" s="30"/>
      <c r="D35" s="30" t="s">
        <v>255</v>
      </c>
      <c r="E35" s="30"/>
      <c r="F35" s="31">
        <v>45363</v>
      </c>
      <c r="G35" s="32">
        <v>137</v>
      </c>
      <c r="H35" s="81">
        <v>45336</v>
      </c>
      <c r="I35" s="34">
        <v>990</v>
      </c>
      <c r="J35" s="30"/>
      <c r="K35" s="30" t="s">
        <v>35</v>
      </c>
      <c r="L35" s="30"/>
      <c r="M35" s="30"/>
      <c r="N35" s="30"/>
      <c r="O35" s="30" t="s">
        <v>35</v>
      </c>
      <c r="P35" s="30"/>
      <c r="Q35" s="34">
        <v>990</v>
      </c>
      <c r="R35" s="33">
        <v>45343</v>
      </c>
      <c r="S35" s="33">
        <v>45338</v>
      </c>
      <c r="T35" s="50" t="s">
        <v>114</v>
      </c>
      <c r="U35" s="28"/>
      <c r="V35" s="28"/>
      <c r="W35" s="28"/>
      <c r="X35" s="28"/>
      <c r="Y35" s="28"/>
      <c r="Z35" s="28"/>
    </row>
    <row r="36" spans="1:26" ht="15" thickBot="1" x14ac:dyDescent="0.35">
      <c r="A36" s="166" t="s">
        <v>70</v>
      </c>
      <c r="B36" s="30"/>
      <c r="C36" s="30"/>
      <c r="D36" s="58" t="s">
        <v>256</v>
      </c>
      <c r="E36" s="30"/>
      <c r="F36" s="31">
        <v>45425</v>
      </c>
      <c r="G36" s="32">
        <v>138</v>
      </c>
      <c r="H36" s="81">
        <v>45336</v>
      </c>
      <c r="I36" s="34">
        <v>288.39999999999998</v>
      </c>
      <c r="J36" s="30"/>
      <c r="K36" s="30" t="s">
        <v>35</v>
      </c>
      <c r="L36" s="30"/>
      <c r="M36" s="30"/>
      <c r="N36" s="30"/>
      <c r="O36" s="30" t="s">
        <v>35</v>
      </c>
      <c r="P36" s="30"/>
      <c r="Q36" s="34">
        <v>288.39999999999998</v>
      </c>
      <c r="R36" s="33">
        <v>45294</v>
      </c>
      <c r="S36" s="33">
        <v>45345</v>
      </c>
      <c r="T36" s="50" t="s">
        <v>114</v>
      </c>
      <c r="U36" s="28"/>
      <c r="V36" s="28"/>
      <c r="W36" s="28"/>
      <c r="X36" s="28"/>
      <c r="Y36" s="28"/>
      <c r="Z36" s="28"/>
    </row>
    <row r="37" spans="1:26" ht="15" thickBot="1" x14ac:dyDescent="0.35">
      <c r="A37" s="169" t="s">
        <v>72</v>
      </c>
      <c r="B37" s="59"/>
      <c r="C37" s="59"/>
      <c r="D37" s="59" t="s">
        <v>255</v>
      </c>
      <c r="E37" s="59"/>
      <c r="F37" s="60">
        <v>45508</v>
      </c>
      <c r="G37" s="61">
        <v>139</v>
      </c>
      <c r="H37" s="84">
        <v>45337</v>
      </c>
      <c r="I37" s="63">
        <v>990</v>
      </c>
      <c r="J37" s="59"/>
      <c r="K37" s="59" t="s">
        <v>35</v>
      </c>
      <c r="L37" s="59"/>
      <c r="M37" s="59"/>
      <c r="N37" s="59"/>
      <c r="O37" s="59" t="s">
        <v>35</v>
      </c>
      <c r="P37" s="59"/>
      <c r="Q37" s="63">
        <v>990</v>
      </c>
      <c r="R37" s="65">
        <v>45350</v>
      </c>
      <c r="S37" s="56">
        <v>45326</v>
      </c>
      <c r="T37" s="64" t="s">
        <v>114</v>
      </c>
      <c r="U37" s="28"/>
      <c r="V37" s="28"/>
      <c r="W37" s="28"/>
      <c r="X37" s="28"/>
      <c r="Y37" s="28"/>
      <c r="Z37" s="28"/>
    </row>
    <row r="38" spans="1:26" ht="15" thickBot="1" x14ac:dyDescent="0.35">
      <c r="A38" s="169" t="s">
        <v>142</v>
      </c>
      <c r="B38" s="64" t="s">
        <v>143</v>
      </c>
      <c r="C38" s="59"/>
      <c r="D38" s="59" t="s">
        <v>144</v>
      </c>
      <c r="E38" s="59"/>
      <c r="F38" s="59"/>
      <c r="G38" s="61">
        <v>18259</v>
      </c>
      <c r="H38" s="84">
        <v>45371</v>
      </c>
      <c r="I38" s="63">
        <v>891</v>
      </c>
      <c r="J38" s="59"/>
      <c r="K38" s="59" t="s">
        <v>35</v>
      </c>
      <c r="L38" s="59"/>
      <c r="M38" s="59"/>
      <c r="N38" s="59"/>
      <c r="O38" s="59" t="s">
        <v>35</v>
      </c>
      <c r="P38" s="59"/>
      <c r="Q38" s="63">
        <v>891</v>
      </c>
      <c r="R38" s="65">
        <v>45295</v>
      </c>
      <c r="S38" s="59"/>
      <c r="T38" s="59"/>
      <c r="U38" s="28"/>
      <c r="V38" s="28"/>
      <c r="W38" s="28"/>
      <c r="X38" s="28"/>
      <c r="Y38" s="28"/>
      <c r="Z38" s="28"/>
    </row>
    <row r="39" spans="1:26" ht="15" thickBot="1" x14ac:dyDescent="0.35">
      <c r="A39" s="166" t="s">
        <v>73</v>
      </c>
      <c r="B39" s="30"/>
      <c r="C39" s="30"/>
      <c r="D39" s="30" t="s">
        <v>75</v>
      </c>
      <c r="E39" s="30"/>
      <c r="F39" s="31">
        <v>45563</v>
      </c>
      <c r="G39" s="32">
        <v>140</v>
      </c>
      <c r="H39" s="81">
        <v>45337</v>
      </c>
      <c r="I39" s="34">
        <v>1230</v>
      </c>
      <c r="J39" s="34">
        <v>492</v>
      </c>
      <c r="K39" s="33">
        <v>45294</v>
      </c>
      <c r="L39" s="41">
        <v>45348</v>
      </c>
      <c r="M39" s="28"/>
      <c r="N39" s="28"/>
      <c r="O39" s="28"/>
      <c r="P39" s="28"/>
      <c r="Q39" s="28"/>
      <c r="R39" s="28"/>
      <c r="S39" s="28"/>
      <c r="T39" s="50" t="s">
        <v>116</v>
      </c>
      <c r="U39" s="28"/>
      <c r="V39" s="28"/>
      <c r="W39" s="28"/>
      <c r="X39" s="28"/>
      <c r="Y39" s="28"/>
      <c r="Z39" s="28"/>
    </row>
    <row r="40" spans="1:26" ht="15" thickBot="1" x14ac:dyDescent="0.35">
      <c r="A40" s="166" t="s">
        <v>73</v>
      </c>
      <c r="B40" s="28"/>
      <c r="C40" s="30"/>
      <c r="D40" s="30" t="s">
        <v>257</v>
      </c>
      <c r="E40" s="30" t="s">
        <v>107</v>
      </c>
      <c r="F40" s="31">
        <v>45550</v>
      </c>
      <c r="G40" s="32">
        <v>141</v>
      </c>
      <c r="H40" s="81">
        <v>45337</v>
      </c>
      <c r="I40" s="34">
        <v>880</v>
      </c>
      <c r="J40" s="34">
        <v>176</v>
      </c>
      <c r="K40" s="33">
        <v>45350</v>
      </c>
      <c r="L40" s="41">
        <v>45348</v>
      </c>
      <c r="M40" s="30"/>
      <c r="N40" s="30"/>
      <c r="O40" s="30" t="s">
        <v>35</v>
      </c>
      <c r="P40" s="30"/>
      <c r="Q40" s="34">
        <v>704</v>
      </c>
      <c r="R40" s="33">
        <v>45509</v>
      </c>
      <c r="S40" s="90">
        <v>45540</v>
      </c>
      <c r="T40" s="50" t="s">
        <v>116</v>
      </c>
      <c r="U40" s="28"/>
      <c r="V40" s="28"/>
      <c r="W40" s="28"/>
      <c r="X40" s="28"/>
      <c r="Y40" s="28"/>
      <c r="Z40" s="28"/>
    </row>
    <row r="41" spans="1:26" ht="15" thickBot="1" x14ac:dyDescent="0.35">
      <c r="A41" s="166" t="s">
        <v>76</v>
      </c>
      <c r="B41" s="30" t="s">
        <v>77</v>
      </c>
      <c r="C41" s="35" t="s">
        <v>258</v>
      </c>
      <c r="D41" s="30" t="s">
        <v>78</v>
      </c>
      <c r="E41" s="30"/>
      <c r="F41" s="31">
        <v>45508</v>
      </c>
      <c r="G41" s="32">
        <v>142</v>
      </c>
      <c r="H41" s="81">
        <v>45337</v>
      </c>
      <c r="I41" s="34">
        <v>653</v>
      </c>
      <c r="J41" s="34">
        <v>261.2</v>
      </c>
      <c r="K41" s="33">
        <v>45476</v>
      </c>
      <c r="L41" s="46" t="s">
        <v>118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 thickBot="1" x14ac:dyDescent="0.35">
      <c r="A42" s="166" t="s">
        <v>79</v>
      </c>
      <c r="B42" s="30"/>
      <c r="C42" s="30"/>
      <c r="D42" s="30" t="s">
        <v>75</v>
      </c>
      <c r="E42" s="30" t="s">
        <v>107</v>
      </c>
      <c r="F42" s="31">
        <v>45355</v>
      </c>
      <c r="G42" s="32">
        <v>143</v>
      </c>
      <c r="H42" s="81">
        <v>45337</v>
      </c>
      <c r="I42" s="34">
        <v>830</v>
      </c>
      <c r="J42" s="34">
        <v>332</v>
      </c>
      <c r="K42" s="33">
        <v>45294</v>
      </c>
      <c r="L42" s="41">
        <v>45350</v>
      </c>
      <c r="M42" s="28"/>
      <c r="N42" s="28"/>
      <c r="O42" s="28"/>
      <c r="P42" s="28"/>
      <c r="Q42" s="28"/>
      <c r="R42" s="28"/>
      <c r="S42" s="28"/>
      <c r="T42" s="50" t="s">
        <v>114</v>
      </c>
      <c r="U42" s="28"/>
      <c r="V42" s="28"/>
      <c r="W42" s="28"/>
      <c r="X42" s="28"/>
      <c r="Y42" s="28"/>
      <c r="Z42" s="28"/>
    </row>
    <row r="43" spans="1:26" ht="15" thickBot="1" x14ac:dyDescent="0.35">
      <c r="A43" s="166" t="s">
        <v>80</v>
      </c>
      <c r="B43" s="30"/>
      <c r="C43" s="30"/>
      <c r="D43" s="30" t="s">
        <v>81</v>
      </c>
      <c r="E43" s="30"/>
      <c r="F43" s="31">
        <v>45344</v>
      </c>
      <c r="G43" s="32">
        <v>144</v>
      </c>
      <c r="H43" s="81">
        <v>45337</v>
      </c>
      <c r="I43" s="34">
        <v>950</v>
      </c>
      <c r="J43" s="30"/>
      <c r="K43" s="30" t="s">
        <v>35</v>
      </c>
      <c r="L43" s="30"/>
      <c r="M43" s="30"/>
      <c r="N43" s="30"/>
      <c r="O43" s="30" t="s">
        <v>35</v>
      </c>
      <c r="P43" s="30"/>
      <c r="Q43" s="34">
        <v>950</v>
      </c>
      <c r="R43" s="33">
        <v>45343</v>
      </c>
      <c r="S43" s="33">
        <v>45342</v>
      </c>
      <c r="T43" s="50" t="s">
        <v>114</v>
      </c>
      <c r="U43" s="28"/>
      <c r="V43" s="28"/>
      <c r="W43" s="28"/>
      <c r="X43" s="28"/>
      <c r="Y43" s="28"/>
      <c r="Z43" s="28"/>
    </row>
    <row r="44" spans="1:26" ht="15" thickBot="1" x14ac:dyDescent="0.35">
      <c r="A44" s="166" t="s">
        <v>82</v>
      </c>
      <c r="B44" s="30" t="s">
        <v>77</v>
      </c>
      <c r="C44" s="33">
        <v>45324</v>
      </c>
      <c r="D44" s="66" t="s">
        <v>83</v>
      </c>
      <c r="E44" s="30" t="s">
        <v>109</v>
      </c>
      <c r="F44" s="31">
        <v>45362</v>
      </c>
      <c r="G44" s="32">
        <v>145</v>
      </c>
      <c r="H44" s="81">
        <v>45337</v>
      </c>
      <c r="I44" s="34">
        <v>881</v>
      </c>
      <c r="J44" s="34">
        <v>176.2</v>
      </c>
      <c r="K44" s="33">
        <v>45294</v>
      </c>
      <c r="L44" s="41">
        <v>45350</v>
      </c>
      <c r="M44" s="50" t="s">
        <v>118</v>
      </c>
      <c r="N44" s="30"/>
      <c r="O44" s="30" t="s">
        <v>35</v>
      </c>
      <c r="P44" s="30"/>
      <c r="Q44" s="34">
        <v>704.8</v>
      </c>
      <c r="R44" s="33">
        <v>45558</v>
      </c>
      <c r="S44" s="90">
        <v>45448</v>
      </c>
      <c r="T44" s="28" t="s">
        <v>114</v>
      </c>
      <c r="U44" s="28"/>
      <c r="V44" s="28"/>
      <c r="W44" s="28"/>
      <c r="X44" s="28"/>
      <c r="Y44" s="28"/>
      <c r="Z44" s="28"/>
    </row>
    <row r="45" spans="1:26" ht="15" thickBot="1" x14ac:dyDescent="0.35">
      <c r="A45" s="166" t="s">
        <v>86</v>
      </c>
      <c r="B45" s="30"/>
      <c r="C45" s="30"/>
      <c r="D45" s="67" t="s">
        <v>259</v>
      </c>
      <c r="E45" s="68" t="s">
        <v>106</v>
      </c>
      <c r="F45" s="31">
        <v>45547</v>
      </c>
      <c r="G45" s="32">
        <v>146</v>
      </c>
      <c r="H45" s="81">
        <v>45338</v>
      </c>
      <c r="I45" s="34">
        <v>2569</v>
      </c>
      <c r="J45" s="34">
        <v>513.79999999999995</v>
      </c>
      <c r="K45" s="33">
        <v>45325</v>
      </c>
      <c r="L45" s="41">
        <v>45349</v>
      </c>
      <c r="M45" s="57" t="s">
        <v>118</v>
      </c>
      <c r="N45" s="30"/>
      <c r="O45" s="30" t="s">
        <v>35</v>
      </c>
      <c r="P45" s="30"/>
      <c r="Q45" s="34">
        <v>2055.1999999999998</v>
      </c>
      <c r="R45" s="33">
        <v>45302</v>
      </c>
      <c r="S45" s="75">
        <v>45594</v>
      </c>
      <c r="T45" s="28" t="s">
        <v>363</v>
      </c>
      <c r="U45" s="28"/>
      <c r="V45" s="28"/>
      <c r="W45" s="28"/>
      <c r="X45" s="28"/>
      <c r="Y45" s="28"/>
      <c r="Z45" s="28"/>
    </row>
    <row r="46" spans="1:26" ht="15" thickBot="1" x14ac:dyDescent="0.35">
      <c r="A46" s="170" t="s">
        <v>87</v>
      </c>
      <c r="B46" s="30" t="s">
        <v>77</v>
      </c>
      <c r="C46" s="30"/>
      <c r="D46" s="66" t="s">
        <v>88</v>
      </c>
      <c r="E46" s="30"/>
      <c r="F46" s="31">
        <v>45460</v>
      </c>
      <c r="G46" s="32">
        <v>147</v>
      </c>
      <c r="H46" s="81">
        <v>45338</v>
      </c>
      <c r="I46" s="34">
        <v>2777</v>
      </c>
      <c r="J46" s="34">
        <v>555.4</v>
      </c>
      <c r="K46" s="33">
        <v>45294</v>
      </c>
      <c r="L46" s="41">
        <v>45365</v>
      </c>
      <c r="M46" s="30"/>
      <c r="N46" s="34">
        <v>555.4</v>
      </c>
      <c r="O46" s="33">
        <v>45385</v>
      </c>
      <c r="P46" s="90">
        <v>45454</v>
      </c>
      <c r="Q46" s="34">
        <v>1666.2</v>
      </c>
      <c r="R46" s="33">
        <v>45448</v>
      </c>
      <c r="S46" s="90">
        <v>45454</v>
      </c>
      <c r="T46" s="28" t="s">
        <v>140</v>
      </c>
      <c r="U46" s="28"/>
      <c r="V46" s="28"/>
      <c r="W46" s="28"/>
      <c r="X46" s="28"/>
      <c r="Y46" s="28"/>
      <c r="Z46" s="28"/>
    </row>
    <row r="47" spans="1:26" ht="15" thickBot="1" x14ac:dyDescent="0.35">
      <c r="A47" s="166" t="s">
        <v>89</v>
      </c>
      <c r="B47" s="30" t="s">
        <v>77</v>
      </c>
      <c r="C47" s="33">
        <v>45384</v>
      </c>
      <c r="D47" s="66" t="s">
        <v>90</v>
      </c>
      <c r="E47" s="30" t="s">
        <v>106</v>
      </c>
      <c r="F47" s="31">
        <v>45530</v>
      </c>
      <c r="G47" s="32">
        <v>148</v>
      </c>
      <c r="H47" s="81">
        <v>45338</v>
      </c>
      <c r="I47" s="34">
        <v>1173</v>
      </c>
      <c r="J47" s="34">
        <v>234.6</v>
      </c>
      <c r="K47" s="33">
        <v>45294</v>
      </c>
      <c r="L47" s="41">
        <v>45351</v>
      </c>
      <c r="M47" s="50" t="s">
        <v>118</v>
      </c>
      <c r="N47" s="30"/>
      <c r="O47" s="30" t="s">
        <v>35</v>
      </c>
      <c r="P47" s="30"/>
      <c r="Q47" s="34">
        <v>938.4</v>
      </c>
      <c r="R47" s="33">
        <v>45450</v>
      </c>
      <c r="S47" s="90">
        <v>45477</v>
      </c>
      <c r="T47" s="28" t="s">
        <v>140</v>
      </c>
      <c r="U47" s="28"/>
      <c r="V47" s="28"/>
      <c r="W47" s="28"/>
      <c r="X47" s="28"/>
      <c r="Y47" s="28"/>
      <c r="Z47" s="28"/>
    </row>
    <row r="48" spans="1:26" ht="15" thickBot="1" x14ac:dyDescent="0.35">
      <c r="A48" s="166" t="s">
        <v>91</v>
      </c>
      <c r="B48" s="30"/>
      <c r="C48" s="30"/>
      <c r="D48" s="30" t="s">
        <v>255</v>
      </c>
      <c r="E48" s="30"/>
      <c r="F48" s="31">
        <v>45550</v>
      </c>
      <c r="G48" s="32">
        <v>149</v>
      </c>
      <c r="H48" s="81">
        <v>45341</v>
      </c>
      <c r="I48" s="34">
        <v>2510</v>
      </c>
      <c r="J48" s="34">
        <v>502</v>
      </c>
      <c r="K48" s="33">
        <v>45385</v>
      </c>
      <c r="L48" s="41">
        <v>45385</v>
      </c>
      <c r="M48" s="30"/>
      <c r="N48" s="30"/>
      <c r="O48" s="30" t="s">
        <v>35</v>
      </c>
      <c r="P48" s="30"/>
      <c r="Q48" s="34">
        <v>2008</v>
      </c>
      <c r="R48" s="33">
        <v>45505</v>
      </c>
      <c r="S48" s="90">
        <v>45495</v>
      </c>
      <c r="T48" s="28" t="s">
        <v>140</v>
      </c>
      <c r="U48" s="28"/>
      <c r="V48" s="28"/>
      <c r="W48" s="28"/>
      <c r="X48" s="28"/>
      <c r="Y48" s="28"/>
      <c r="Z48" s="28"/>
    </row>
    <row r="49" spans="1:26" ht="15" thickBot="1" x14ac:dyDescent="0.35">
      <c r="A49" s="169" t="s">
        <v>99</v>
      </c>
      <c r="B49" s="59"/>
      <c r="C49" s="59"/>
      <c r="D49" s="59" t="s">
        <v>260</v>
      </c>
      <c r="E49" s="59"/>
      <c r="F49" s="60">
        <v>45351</v>
      </c>
      <c r="G49" s="61">
        <v>150</v>
      </c>
      <c r="H49" s="84">
        <v>45341</v>
      </c>
      <c r="I49" s="63">
        <v>944</v>
      </c>
      <c r="J49" s="59"/>
      <c r="K49" s="59" t="s">
        <v>35</v>
      </c>
      <c r="L49" s="59"/>
      <c r="M49" s="59"/>
      <c r="N49" s="59"/>
      <c r="O49" s="59" t="s">
        <v>35</v>
      </c>
      <c r="P49" s="59"/>
      <c r="Q49" s="63">
        <v>944</v>
      </c>
      <c r="R49" s="65">
        <v>45344</v>
      </c>
      <c r="S49" s="28"/>
      <c r="T49" s="28"/>
      <c r="U49" s="28"/>
      <c r="V49" s="28"/>
      <c r="W49" s="28"/>
      <c r="X49" s="28"/>
      <c r="Y49" s="28"/>
      <c r="Z49" s="28"/>
    </row>
    <row r="50" spans="1:26" ht="15" thickBot="1" x14ac:dyDescent="0.35">
      <c r="A50" s="169" t="s">
        <v>99</v>
      </c>
      <c r="B50" s="59" t="s">
        <v>100</v>
      </c>
      <c r="C50" s="62" t="s">
        <v>251</v>
      </c>
      <c r="D50" s="59" t="s">
        <v>102</v>
      </c>
      <c r="E50" s="59"/>
      <c r="F50" s="59"/>
      <c r="G50" s="59"/>
      <c r="H50" s="85">
        <v>45345</v>
      </c>
      <c r="I50" s="63">
        <v>-944</v>
      </c>
      <c r="J50" s="59"/>
      <c r="K50" s="59" t="s">
        <v>35</v>
      </c>
      <c r="L50" s="59"/>
      <c r="M50" s="59"/>
      <c r="N50" s="59"/>
      <c r="O50" s="59" t="s">
        <v>35</v>
      </c>
      <c r="P50" s="59"/>
      <c r="Q50" s="63">
        <v>-944</v>
      </c>
      <c r="R50" s="65">
        <v>45345</v>
      </c>
      <c r="S50" s="28"/>
      <c r="T50" s="28"/>
      <c r="U50" s="28"/>
      <c r="V50" s="28"/>
      <c r="W50" s="28"/>
      <c r="X50" s="28"/>
      <c r="Y50" s="28"/>
      <c r="Z50" s="28"/>
    </row>
    <row r="51" spans="1:26" ht="15" thickBot="1" x14ac:dyDescent="0.35">
      <c r="A51" s="166" t="s">
        <v>97</v>
      </c>
      <c r="B51" s="30"/>
      <c r="C51" s="30"/>
      <c r="D51" s="68" t="s">
        <v>98</v>
      </c>
      <c r="E51" s="68" t="s">
        <v>106</v>
      </c>
      <c r="F51" s="31">
        <v>45505</v>
      </c>
      <c r="G51" s="32">
        <v>151</v>
      </c>
      <c r="H51" s="81">
        <v>45341</v>
      </c>
      <c r="I51" s="34">
        <v>1560</v>
      </c>
      <c r="J51" s="34">
        <v>312</v>
      </c>
      <c r="K51" s="33">
        <v>45385</v>
      </c>
      <c r="L51" s="30"/>
      <c r="M51" s="30"/>
      <c r="N51" s="30"/>
      <c r="O51" s="30" t="s">
        <v>35</v>
      </c>
      <c r="P51" s="30"/>
      <c r="Q51" s="34">
        <v>1248</v>
      </c>
      <c r="R51" s="33">
        <v>45460</v>
      </c>
      <c r="S51" s="33">
        <v>45348</v>
      </c>
      <c r="T51" s="34">
        <v>1560</v>
      </c>
      <c r="U51" s="40" t="s">
        <v>114</v>
      </c>
      <c r="V51" s="28"/>
      <c r="W51" s="28"/>
      <c r="X51" s="28"/>
      <c r="Y51" s="28"/>
      <c r="Z51" s="28"/>
    </row>
    <row r="52" spans="1:26" ht="15" thickBot="1" x14ac:dyDescent="0.35">
      <c r="A52" s="166" t="s">
        <v>92</v>
      </c>
      <c r="B52" s="30"/>
      <c r="C52" s="30"/>
      <c r="D52" s="66" t="s">
        <v>96</v>
      </c>
      <c r="E52" s="30" t="s">
        <v>106</v>
      </c>
      <c r="F52" s="31">
        <v>45325</v>
      </c>
      <c r="G52" s="32">
        <v>152</v>
      </c>
      <c r="H52" s="81">
        <v>45343</v>
      </c>
      <c r="I52" s="34">
        <v>1132</v>
      </c>
      <c r="J52" s="30"/>
      <c r="K52" s="30" t="s">
        <v>35</v>
      </c>
      <c r="L52" s="30"/>
      <c r="M52" s="30"/>
      <c r="N52" s="30"/>
      <c r="O52" s="30"/>
      <c r="P52" s="30"/>
      <c r="Q52" s="34">
        <v>1132</v>
      </c>
      <c r="R52" s="33">
        <v>45351</v>
      </c>
      <c r="S52" s="33">
        <v>45348</v>
      </c>
      <c r="T52" s="46" t="s">
        <v>114</v>
      </c>
      <c r="U52" s="28"/>
      <c r="V52" s="28"/>
      <c r="W52" s="28"/>
      <c r="X52" s="28"/>
      <c r="Y52" s="28"/>
      <c r="Z52" s="28"/>
    </row>
    <row r="53" spans="1:26" s="172" customFormat="1" ht="15" thickBot="1" x14ac:dyDescent="0.35">
      <c r="A53" s="171" t="s">
        <v>104</v>
      </c>
      <c r="B53" s="114" t="s">
        <v>77</v>
      </c>
      <c r="C53" s="49">
        <v>45506</v>
      </c>
      <c r="D53" s="115" t="s">
        <v>93</v>
      </c>
      <c r="E53" s="114"/>
      <c r="F53" s="116">
        <v>45442</v>
      </c>
      <c r="G53" s="117">
        <v>153</v>
      </c>
      <c r="H53" s="118">
        <v>45345</v>
      </c>
      <c r="I53" s="48">
        <v>811</v>
      </c>
      <c r="J53" s="48">
        <v>162.19999999999999</v>
      </c>
      <c r="K53" s="49">
        <v>45352</v>
      </c>
      <c r="L53" s="127" t="s">
        <v>145</v>
      </c>
      <c r="M53" s="114"/>
      <c r="N53" s="114"/>
      <c r="O53" s="114" t="s">
        <v>35</v>
      </c>
      <c r="P53" s="114"/>
      <c r="Q53" s="48">
        <v>648.79999999999995</v>
      </c>
      <c r="R53" s="49">
        <v>45400</v>
      </c>
      <c r="S53" s="128">
        <v>45425</v>
      </c>
      <c r="T53" s="102"/>
      <c r="U53" s="102"/>
      <c r="V53" s="102"/>
      <c r="W53" s="102"/>
      <c r="X53" s="102"/>
      <c r="Y53" s="102"/>
      <c r="Z53" s="102"/>
    </row>
    <row r="54" spans="1:26" ht="15" thickBot="1" x14ac:dyDescent="0.35">
      <c r="A54" s="166" t="s">
        <v>94</v>
      </c>
      <c r="B54" s="30" t="s">
        <v>77</v>
      </c>
      <c r="C54" s="35" t="s">
        <v>261</v>
      </c>
      <c r="D54" s="66" t="s">
        <v>95</v>
      </c>
      <c r="E54" s="30"/>
      <c r="F54" s="31">
        <v>45468</v>
      </c>
      <c r="G54" s="32">
        <v>154</v>
      </c>
      <c r="H54" s="81">
        <v>45345</v>
      </c>
      <c r="I54" s="34">
        <v>1496</v>
      </c>
      <c r="J54" s="34">
        <v>0</v>
      </c>
      <c r="K54" s="33">
        <v>45352</v>
      </c>
      <c r="L54" s="30"/>
      <c r="M54" s="30"/>
      <c r="N54" s="30"/>
      <c r="O54" s="30" t="s">
        <v>35</v>
      </c>
      <c r="P54" s="30"/>
      <c r="Q54" s="34">
        <v>1496</v>
      </c>
      <c r="R54" s="33">
        <v>45327</v>
      </c>
      <c r="S54" s="33">
        <v>45294</v>
      </c>
      <c r="T54" s="41">
        <v>1554</v>
      </c>
      <c r="U54" s="30" t="s">
        <v>114</v>
      </c>
      <c r="V54" s="28"/>
      <c r="W54" s="28"/>
      <c r="X54" s="28"/>
      <c r="Y54" s="28"/>
      <c r="Z54" s="28"/>
    </row>
    <row r="55" spans="1:26" ht="15" thickBot="1" x14ac:dyDescent="0.35">
      <c r="A55" s="166" t="s">
        <v>105</v>
      </c>
      <c r="B55" s="30"/>
      <c r="C55" s="30"/>
      <c r="D55" s="30" t="s">
        <v>255</v>
      </c>
      <c r="E55" s="30" t="s">
        <v>106</v>
      </c>
      <c r="F55" s="31">
        <v>45425</v>
      </c>
      <c r="G55" s="32">
        <v>155</v>
      </c>
      <c r="H55" s="81">
        <v>45349</v>
      </c>
      <c r="I55" s="34">
        <v>990</v>
      </c>
      <c r="J55" s="34">
        <v>198</v>
      </c>
      <c r="K55" s="33">
        <v>45357</v>
      </c>
      <c r="L55" s="41">
        <v>45385</v>
      </c>
      <c r="M55" s="30"/>
      <c r="N55" s="30"/>
      <c r="O55" s="30" t="s">
        <v>35</v>
      </c>
      <c r="P55" s="30"/>
      <c r="Q55" s="34">
        <v>792</v>
      </c>
      <c r="R55" s="33">
        <v>45355</v>
      </c>
      <c r="S55" s="41">
        <v>45326</v>
      </c>
      <c r="T55" s="50" t="s">
        <v>114</v>
      </c>
      <c r="U55" s="28"/>
      <c r="V55" s="28"/>
      <c r="W55" s="28"/>
      <c r="X55" s="28"/>
      <c r="Y55" s="28"/>
      <c r="Z55" s="28"/>
    </row>
    <row r="56" spans="1:26" ht="15" thickBot="1" x14ac:dyDescent="0.35">
      <c r="A56" s="170" t="s">
        <v>108</v>
      </c>
      <c r="B56" s="30" t="s">
        <v>77</v>
      </c>
      <c r="C56" s="33">
        <v>45628</v>
      </c>
      <c r="D56" s="69" t="s">
        <v>78</v>
      </c>
      <c r="E56" s="30" t="s">
        <v>107</v>
      </c>
      <c r="F56" s="31">
        <v>45493</v>
      </c>
      <c r="G56" s="32">
        <v>156</v>
      </c>
      <c r="H56" s="81">
        <v>45349</v>
      </c>
      <c r="I56" s="34">
        <v>267.60000000000002</v>
      </c>
      <c r="J56" s="30"/>
      <c r="K56" s="30" t="s">
        <v>35</v>
      </c>
      <c r="L56" s="57" t="s">
        <v>145</v>
      </c>
      <c r="M56" s="30"/>
      <c r="N56" s="30"/>
      <c r="O56" s="30" t="s">
        <v>35</v>
      </c>
      <c r="P56" s="30"/>
      <c r="Q56" s="34">
        <v>267.60000000000002</v>
      </c>
      <c r="R56" s="33">
        <v>45354</v>
      </c>
      <c r="S56" s="41">
        <v>45326</v>
      </c>
      <c r="T56" s="50" t="s">
        <v>114</v>
      </c>
      <c r="U56" s="28"/>
      <c r="V56" s="28"/>
      <c r="W56" s="28"/>
      <c r="X56" s="28"/>
      <c r="Y56" s="28"/>
      <c r="Z56" s="28"/>
    </row>
    <row r="57" spans="1:26" ht="15" thickBot="1" x14ac:dyDescent="0.35">
      <c r="A57" s="166" t="s">
        <v>110</v>
      </c>
      <c r="B57" s="30"/>
      <c r="C57" s="30"/>
      <c r="D57" s="68" t="s">
        <v>111</v>
      </c>
      <c r="E57" s="30" t="s">
        <v>106</v>
      </c>
      <c r="F57" s="31">
        <v>45537</v>
      </c>
      <c r="G57" s="32">
        <v>157</v>
      </c>
      <c r="H57" s="81">
        <v>45352</v>
      </c>
      <c r="I57" s="34">
        <v>3290</v>
      </c>
      <c r="J57" s="34">
        <v>658</v>
      </c>
      <c r="K57" s="33">
        <v>45366</v>
      </c>
      <c r="L57" s="33">
        <v>45364</v>
      </c>
      <c r="M57" s="57" t="s">
        <v>118</v>
      </c>
      <c r="N57" s="30"/>
      <c r="O57" s="30" t="s">
        <v>35</v>
      </c>
      <c r="P57" s="30"/>
      <c r="Q57" s="34">
        <v>2632</v>
      </c>
      <c r="R57" s="33">
        <v>45519</v>
      </c>
      <c r="S57" s="90">
        <v>45517</v>
      </c>
      <c r="T57" s="28" t="s">
        <v>114</v>
      </c>
      <c r="U57" s="28"/>
      <c r="V57" s="28"/>
      <c r="W57" s="28"/>
      <c r="X57" s="28"/>
      <c r="Y57" s="28"/>
      <c r="Z57" s="28"/>
    </row>
    <row r="58" spans="1:26" ht="15" thickBot="1" x14ac:dyDescent="0.35">
      <c r="A58" s="164" t="s">
        <v>262</v>
      </c>
      <c r="B58" s="28"/>
      <c r="C58" s="28"/>
      <c r="D58" s="28" t="s">
        <v>113</v>
      </c>
      <c r="E58" s="28"/>
      <c r="F58" s="28"/>
      <c r="G58" s="28"/>
      <c r="H58" s="76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" thickBot="1" x14ac:dyDescent="0.35">
      <c r="A59" s="169" t="s">
        <v>263</v>
      </c>
      <c r="B59" s="59" t="s">
        <v>100</v>
      </c>
      <c r="C59" s="59"/>
      <c r="D59" s="59" t="s">
        <v>131</v>
      </c>
      <c r="E59" s="59" t="s">
        <v>120</v>
      </c>
      <c r="F59" s="59"/>
      <c r="G59" s="61">
        <v>18250</v>
      </c>
      <c r="H59" s="84">
        <v>45353</v>
      </c>
      <c r="I59" s="63">
        <v>58.02</v>
      </c>
      <c r="J59" s="64" t="s">
        <v>132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" thickBot="1" x14ac:dyDescent="0.35">
      <c r="A60" s="166" t="s">
        <v>119</v>
      </c>
      <c r="B60" s="30"/>
      <c r="C60" s="30"/>
      <c r="D60" s="30" t="s">
        <v>264</v>
      </c>
      <c r="E60" s="30" t="s">
        <v>120</v>
      </c>
      <c r="F60" s="31">
        <v>45503</v>
      </c>
      <c r="G60" s="32">
        <v>158</v>
      </c>
      <c r="H60" s="81">
        <v>45355</v>
      </c>
      <c r="I60" s="34">
        <v>7950</v>
      </c>
      <c r="J60" s="34">
        <v>3180</v>
      </c>
      <c r="K60" s="33">
        <v>45366</v>
      </c>
      <c r="L60" s="41">
        <v>45362</v>
      </c>
      <c r="M60" s="57" t="s">
        <v>118</v>
      </c>
      <c r="N60" s="30"/>
      <c r="O60" s="30" t="s">
        <v>35</v>
      </c>
      <c r="P60" s="30"/>
      <c r="Q60" s="34">
        <v>4770</v>
      </c>
      <c r="R60" s="33">
        <v>45297</v>
      </c>
      <c r="S60" s="90">
        <v>45443</v>
      </c>
      <c r="T60" s="28"/>
      <c r="U60" s="28"/>
      <c r="V60" s="28"/>
      <c r="W60" s="28"/>
      <c r="X60" s="28"/>
      <c r="Y60" s="28"/>
      <c r="Z60" s="28"/>
    </row>
    <row r="61" spans="1:26" ht="15" thickBot="1" x14ac:dyDescent="0.35">
      <c r="A61" s="173" t="s">
        <v>121</v>
      </c>
      <c r="B61" s="30"/>
      <c r="C61" s="30"/>
      <c r="D61" s="68" t="s">
        <v>122</v>
      </c>
      <c r="E61" s="30" t="s">
        <v>109</v>
      </c>
      <c r="F61" s="31">
        <v>45571</v>
      </c>
      <c r="G61" s="32">
        <v>159</v>
      </c>
      <c r="H61" s="81" t="s">
        <v>293</v>
      </c>
      <c r="I61" s="34">
        <v>1400</v>
      </c>
      <c r="J61" s="34">
        <v>280</v>
      </c>
      <c r="K61" s="33">
        <v>45377</v>
      </c>
      <c r="L61" s="41">
        <v>45362</v>
      </c>
      <c r="M61" s="57" t="s">
        <v>118</v>
      </c>
      <c r="N61" s="30"/>
      <c r="O61" s="30" t="s">
        <v>35</v>
      </c>
      <c r="P61" s="30"/>
      <c r="Q61" s="34">
        <v>1120</v>
      </c>
      <c r="R61" s="33">
        <v>45448</v>
      </c>
      <c r="S61" s="90">
        <v>45419</v>
      </c>
      <c r="T61" s="28"/>
      <c r="U61" s="28"/>
      <c r="V61" s="28"/>
      <c r="W61" s="28"/>
      <c r="X61" s="28"/>
      <c r="Y61" s="28"/>
      <c r="Z61" s="28"/>
    </row>
    <row r="62" spans="1:26" ht="15" thickBot="1" x14ac:dyDescent="0.35">
      <c r="A62" s="174" t="s">
        <v>123</v>
      </c>
      <c r="B62" s="30"/>
      <c r="C62" s="30"/>
      <c r="D62" s="68" t="s">
        <v>124</v>
      </c>
      <c r="E62" s="30" t="s">
        <v>120</v>
      </c>
      <c r="F62" s="30"/>
      <c r="G62" s="32">
        <v>160</v>
      </c>
      <c r="H62" s="81">
        <v>45359</v>
      </c>
      <c r="I62" s="34">
        <v>362.7</v>
      </c>
      <c r="J62" s="30"/>
      <c r="K62" s="30" t="s">
        <v>35</v>
      </c>
      <c r="L62" s="30"/>
      <c r="M62" s="30"/>
      <c r="N62" s="30"/>
      <c r="O62" s="30" t="s">
        <v>35</v>
      </c>
      <c r="P62" s="30"/>
      <c r="Q62" s="34">
        <v>362.7</v>
      </c>
      <c r="R62" s="33">
        <v>45369</v>
      </c>
      <c r="S62" s="41">
        <v>45599</v>
      </c>
      <c r="T62" s="50" t="s">
        <v>140</v>
      </c>
      <c r="U62" s="28"/>
      <c r="V62" s="28"/>
      <c r="W62" s="28"/>
      <c r="X62" s="28"/>
      <c r="Y62" s="28"/>
      <c r="Z62" s="28"/>
    </row>
    <row r="63" spans="1:26" ht="15" thickBot="1" x14ac:dyDescent="0.35">
      <c r="A63" s="174" t="s">
        <v>125</v>
      </c>
      <c r="B63" s="30"/>
      <c r="C63" s="30"/>
      <c r="D63" s="68" t="s">
        <v>124</v>
      </c>
      <c r="E63" s="30" t="s">
        <v>120</v>
      </c>
      <c r="F63" s="30"/>
      <c r="G63" s="32">
        <v>161</v>
      </c>
      <c r="H63" s="81">
        <v>45359</v>
      </c>
      <c r="I63" s="34">
        <v>362.7</v>
      </c>
      <c r="J63" s="30"/>
      <c r="K63" s="30" t="s">
        <v>35</v>
      </c>
      <c r="L63" s="30"/>
      <c r="M63" s="30"/>
      <c r="N63" s="30"/>
      <c r="O63" s="30" t="s">
        <v>35</v>
      </c>
      <c r="P63" s="30"/>
      <c r="Q63" s="34">
        <v>362.7</v>
      </c>
      <c r="R63" s="33">
        <v>45369</v>
      </c>
      <c r="S63" s="41">
        <v>45629</v>
      </c>
      <c r="T63" s="50" t="s">
        <v>140</v>
      </c>
      <c r="U63" s="28"/>
      <c r="V63" s="28"/>
      <c r="W63" s="28"/>
      <c r="X63" s="28"/>
      <c r="Y63" s="28"/>
      <c r="Z63" s="28"/>
    </row>
    <row r="64" spans="1:26" ht="15" thickBot="1" x14ac:dyDescent="0.35">
      <c r="A64" s="174" t="s">
        <v>126</v>
      </c>
      <c r="B64" s="30"/>
      <c r="C64" s="30"/>
      <c r="D64" s="68" t="s">
        <v>124</v>
      </c>
      <c r="E64" s="30" t="s">
        <v>120</v>
      </c>
      <c r="F64" s="30"/>
      <c r="G64" s="32">
        <v>162</v>
      </c>
      <c r="H64" s="81">
        <v>45359</v>
      </c>
      <c r="I64" s="34">
        <v>362.7</v>
      </c>
      <c r="J64" s="30"/>
      <c r="K64" s="30" t="s">
        <v>35</v>
      </c>
      <c r="L64" s="30"/>
      <c r="M64" s="30"/>
      <c r="N64" s="30"/>
      <c r="O64" s="30" t="s">
        <v>35</v>
      </c>
      <c r="P64" s="30"/>
      <c r="Q64" s="34">
        <v>362.7</v>
      </c>
      <c r="R64" s="33">
        <v>45369</v>
      </c>
      <c r="S64" s="41">
        <v>45629</v>
      </c>
      <c r="T64" s="50" t="s">
        <v>140</v>
      </c>
      <c r="U64" s="28"/>
      <c r="V64" s="28"/>
      <c r="W64" s="28"/>
      <c r="X64" s="28"/>
      <c r="Y64" s="28"/>
      <c r="Z64" s="28"/>
    </row>
    <row r="65" spans="1:28" ht="15" thickBot="1" x14ac:dyDescent="0.35">
      <c r="A65" s="166" t="s">
        <v>127</v>
      </c>
      <c r="B65" s="30"/>
      <c r="C65" s="30"/>
      <c r="D65" s="68" t="s">
        <v>128</v>
      </c>
      <c r="E65" s="30" t="s">
        <v>106</v>
      </c>
      <c r="F65" s="31">
        <v>45556</v>
      </c>
      <c r="G65" s="32">
        <v>163</v>
      </c>
      <c r="H65" s="81">
        <v>45359</v>
      </c>
      <c r="I65" s="34">
        <v>3080</v>
      </c>
      <c r="J65" s="34">
        <v>616</v>
      </c>
      <c r="K65" s="33">
        <v>45369</v>
      </c>
      <c r="L65" s="41">
        <v>45369</v>
      </c>
      <c r="M65" s="30"/>
      <c r="N65" s="30"/>
      <c r="O65" s="30" t="s">
        <v>35</v>
      </c>
      <c r="P65" s="30"/>
      <c r="Q65" s="34">
        <v>2464</v>
      </c>
      <c r="R65" s="33">
        <v>45509</v>
      </c>
      <c r="S65" s="90">
        <v>45511</v>
      </c>
      <c r="T65" s="28" t="s">
        <v>140</v>
      </c>
      <c r="U65" s="28"/>
      <c r="V65" s="28"/>
      <c r="W65" s="28"/>
      <c r="X65" s="28"/>
      <c r="Y65" s="28"/>
      <c r="Z65" s="28"/>
    </row>
    <row r="66" spans="1:28" ht="15" thickBot="1" x14ac:dyDescent="0.35">
      <c r="A66" s="166" t="s">
        <v>129</v>
      </c>
      <c r="B66" s="30"/>
      <c r="C66" s="30"/>
      <c r="D66" s="68" t="s">
        <v>128</v>
      </c>
      <c r="E66" s="30" t="s">
        <v>106</v>
      </c>
      <c r="F66" s="30"/>
      <c r="G66" s="32">
        <v>164</v>
      </c>
      <c r="H66" s="81">
        <v>45359</v>
      </c>
      <c r="I66" s="34">
        <v>3080</v>
      </c>
      <c r="J66" s="34">
        <v>616</v>
      </c>
      <c r="K66" s="33">
        <v>45369</v>
      </c>
      <c r="L66" s="41">
        <v>45369</v>
      </c>
      <c r="M66" s="30"/>
      <c r="N66" s="30"/>
      <c r="O66" s="30" t="s">
        <v>35</v>
      </c>
      <c r="P66" s="30"/>
      <c r="Q66" s="34">
        <v>2464</v>
      </c>
      <c r="R66" s="33">
        <v>45509</v>
      </c>
      <c r="S66" s="90">
        <v>45510</v>
      </c>
      <c r="T66" s="28" t="s">
        <v>140</v>
      </c>
      <c r="U66" s="28"/>
      <c r="V66" s="28"/>
      <c r="W66" s="28"/>
      <c r="X66" s="28"/>
      <c r="Y66" s="28"/>
      <c r="Z66" s="28"/>
    </row>
    <row r="67" spans="1:28" ht="15" thickBot="1" x14ac:dyDescent="0.35">
      <c r="A67" s="175" t="s">
        <v>133</v>
      </c>
      <c r="B67" s="102" t="s">
        <v>77</v>
      </c>
      <c r="C67" s="108" t="s">
        <v>251</v>
      </c>
      <c r="D67" s="102" t="s">
        <v>265</v>
      </c>
      <c r="E67" s="102" t="s">
        <v>120</v>
      </c>
      <c r="F67" s="104">
        <v>45420</v>
      </c>
      <c r="G67" s="105">
        <v>165</v>
      </c>
      <c r="H67" s="106">
        <v>45361</v>
      </c>
      <c r="I67" s="107">
        <v>472.5</v>
      </c>
      <c r="J67" s="107">
        <v>189</v>
      </c>
      <c r="K67" s="103">
        <v>45374</v>
      </c>
      <c r="L67" s="369" t="s">
        <v>236</v>
      </c>
      <c r="M67" s="370"/>
      <c r="N67" s="102"/>
      <c r="O67" s="102" t="s">
        <v>35</v>
      </c>
      <c r="P67" s="102"/>
      <c r="Q67" s="107">
        <v>283.5</v>
      </c>
      <c r="R67" s="103">
        <v>45466</v>
      </c>
      <c r="S67" s="102"/>
      <c r="T67" s="102"/>
      <c r="U67" s="28"/>
      <c r="V67" s="28"/>
      <c r="W67" s="28"/>
      <c r="X67" s="28"/>
      <c r="Y67" s="28"/>
      <c r="Z67" s="28"/>
    </row>
    <row r="68" spans="1:28" ht="15" customHeight="1" thickBot="1" x14ac:dyDescent="0.35">
      <c r="A68" s="171" t="s">
        <v>134</v>
      </c>
      <c r="B68" s="114" t="s">
        <v>77</v>
      </c>
      <c r="C68" s="49">
        <v>45599</v>
      </c>
      <c r="D68" s="115" t="s">
        <v>135</v>
      </c>
      <c r="E68" s="114" t="s">
        <v>107</v>
      </c>
      <c r="F68" s="116">
        <v>45298</v>
      </c>
      <c r="G68" s="117">
        <v>166</v>
      </c>
      <c r="H68" s="118">
        <v>45367</v>
      </c>
      <c r="I68" s="48">
        <v>258.8</v>
      </c>
      <c r="J68" s="114"/>
      <c r="K68" s="114" t="s">
        <v>35</v>
      </c>
      <c r="L68" s="114"/>
      <c r="M68" s="114"/>
      <c r="N68" s="114"/>
      <c r="O68" s="114" t="s">
        <v>35</v>
      </c>
      <c r="P68" s="114"/>
      <c r="Q68" s="48">
        <v>258.8</v>
      </c>
      <c r="R68" s="49">
        <v>45381</v>
      </c>
      <c r="S68" s="371" t="s">
        <v>238</v>
      </c>
      <c r="T68" s="372"/>
      <c r="U68" s="54"/>
      <c r="V68" s="30" t="s">
        <v>306</v>
      </c>
      <c r="W68" s="28"/>
      <c r="X68" s="28"/>
      <c r="Y68" s="28"/>
      <c r="Z68" s="28"/>
    </row>
    <row r="69" spans="1:28" ht="15" thickBot="1" x14ac:dyDescent="0.35">
      <c r="A69" s="170" t="s">
        <v>137</v>
      </c>
      <c r="B69" s="30" t="s">
        <v>77</v>
      </c>
      <c r="C69" s="33">
        <v>45568</v>
      </c>
      <c r="D69" s="30" t="s">
        <v>266</v>
      </c>
      <c r="E69" s="30" t="s">
        <v>109</v>
      </c>
      <c r="F69" s="31">
        <v>45357</v>
      </c>
      <c r="G69" s="32">
        <v>167</v>
      </c>
      <c r="H69" s="81">
        <v>45367</v>
      </c>
      <c r="I69" s="34">
        <v>1455</v>
      </c>
      <c r="J69" s="34">
        <v>0</v>
      </c>
      <c r="K69" s="33">
        <v>45381</v>
      </c>
      <c r="L69" s="57" t="s">
        <v>236</v>
      </c>
      <c r="M69" s="30"/>
      <c r="N69" s="30"/>
      <c r="O69" s="30" t="s">
        <v>35</v>
      </c>
      <c r="P69" s="30"/>
      <c r="Q69" s="34">
        <v>1455</v>
      </c>
      <c r="R69" s="33">
        <v>45402</v>
      </c>
      <c r="S69" s="90">
        <v>45425</v>
      </c>
      <c r="T69" s="28">
        <v>1455</v>
      </c>
      <c r="U69" s="28"/>
      <c r="V69" s="28"/>
      <c r="W69" s="28"/>
      <c r="X69" s="28"/>
      <c r="Y69" s="28"/>
      <c r="Z69" s="28"/>
    </row>
    <row r="70" spans="1:28" ht="16.8" customHeight="1" thickBot="1" x14ac:dyDescent="0.35">
      <c r="A70" s="176" t="s">
        <v>138</v>
      </c>
      <c r="B70" s="30" t="s">
        <v>77</v>
      </c>
      <c r="C70" s="35" t="s">
        <v>245</v>
      </c>
      <c r="D70" s="30" t="s">
        <v>267</v>
      </c>
      <c r="E70" s="30" t="s">
        <v>109</v>
      </c>
      <c r="F70" s="31">
        <v>45397</v>
      </c>
      <c r="G70" s="32">
        <v>168</v>
      </c>
      <c r="H70" s="81">
        <v>45367</v>
      </c>
      <c r="I70" s="34">
        <v>574</v>
      </c>
      <c r="J70" s="30"/>
      <c r="K70" s="30" t="s">
        <v>35</v>
      </c>
      <c r="L70" s="30"/>
      <c r="M70" s="30"/>
      <c r="N70" s="30"/>
      <c r="O70" s="30" t="s">
        <v>35</v>
      </c>
      <c r="P70" s="30"/>
      <c r="Q70" s="34">
        <v>574</v>
      </c>
      <c r="R70" s="33">
        <v>45376</v>
      </c>
      <c r="S70" s="56">
        <v>45377</v>
      </c>
      <c r="T70" s="28"/>
      <c r="U70" s="28"/>
      <c r="V70" s="28"/>
      <c r="W70" s="28"/>
      <c r="X70" s="28"/>
      <c r="Y70" s="28"/>
      <c r="Z70" s="28"/>
    </row>
    <row r="71" spans="1:28" ht="13.2" customHeight="1" thickBot="1" x14ac:dyDescent="0.35">
      <c r="A71" s="166" t="s">
        <v>139</v>
      </c>
      <c r="B71" s="30" t="s">
        <v>77</v>
      </c>
      <c r="C71" s="33">
        <v>45476</v>
      </c>
      <c r="D71" s="30" t="s">
        <v>256</v>
      </c>
      <c r="E71" s="30" t="s">
        <v>107</v>
      </c>
      <c r="F71" s="31">
        <v>45450</v>
      </c>
      <c r="G71" s="32">
        <v>169</v>
      </c>
      <c r="H71" s="81">
        <v>45367</v>
      </c>
      <c r="I71" s="34">
        <v>320.8</v>
      </c>
      <c r="J71" s="30"/>
      <c r="K71" s="30" t="s">
        <v>35</v>
      </c>
      <c r="L71" s="30"/>
      <c r="M71" s="30"/>
      <c r="N71" s="30"/>
      <c r="O71" s="30" t="s">
        <v>35</v>
      </c>
      <c r="P71" s="30"/>
      <c r="Q71" s="34">
        <v>320.8</v>
      </c>
      <c r="R71" s="33">
        <v>45356</v>
      </c>
      <c r="S71" s="70">
        <v>45422</v>
      </c>
      <c r="T71" s="28" t="s">
        <v>140</v>
      </c>
      <c r="U71" s="373" t="s">
        <v>237</v>
      </c>
      <c r="V71" s="374"/>
      <c r="W71" s="28"/>
      <c r="X71" s="28"/>
      <c r="Y71" s="28"/>
      <c r="Z71" s="28"/>
    </row>
    <row r="72" spans="1:28" ht="15" customHeight="1" thickBot="1" x14ac:dyDescent="0.35">
      <c r="A72" s="166" t="s">
        <v>141</v>
      </c>
      <c r="B72" s="30" t="s">
        <v>77</v>
      </c>
      <c r="C72" s="33">
        <v>45568</v>
      </c>
      <c r="D72" s="30" t="s">
        <v>256</v>
      </c>
      <c r="E72" s="30" t="s">
        <v>107</v>
      </c>
      <c r="F72" s="31">
        <v>45492</v>
      </c>
      <c r="G72" s="32">
        <v>170</v>
      </c>
      <c r="H72" s="81">
        <v>45371</v>
      </c>
      <c r="I72" s="34">
        <v>1339</v>
      </c>
      <c r="J72" s="34">
        <v>535.6</v>
      </c>
      <c r="K72" s="30" t="s">
        <v>35</v>
      </c>
      <c r="L72" s="375" t="s">
        <v>236</v>
      </c>
      <c r="M72" s="376"/>
      <c r="N72" s="30"/>
      <c r="O72" s="30" t="s">
        <v>35</v>
      </c>
      <c r="P72" s="30"/>
      <c r="Q72" s="34">
        <v>535.6</v>
      </c>
      <c r="R72" s="33">
        <v>45295</v>
      </c>
      <c r="S72" s="90">
        <v>45428</v>
      </c>
      <c r="T72" s="28"/>
      <c r="U72" s="28" t="s">
        <v>313</v>
      </c>
      <c r="V72" s="28"/>
      <c r="W72" s="28"/>
      <c r="X72" s="28"/>
      <c r="Y72" s="28"/>
      <c r="Z72" s="28"/>
      <c r="AA72" s="177"/>
      <c r="AB72" s="177"/>
    </row>
    <row r="73" spans="1:28" ht="15" thickBot="1" x14ac:dyDescent="0.35">
      <c r="A73" s="166" t="s">
        <v>160</v>
      </c>
      <c r="B73" s="30"/>
      <c r="C73" s="30"/>
      <c r="D73" s="68" t="s">
        <v>268</v>
      </c>
      <c r="E73" s="30" t="s">
        <v>107</v>
      </c>
      <c r="F73" s="31">
        <v>45331</v>
      </c>
      <c r="G73" s="32">
        <v>171</v>
      </c>
      <c r="H73" s="81">
        <v>45378</v>
      </c>
      <c r="I73" s="34">
        <v>830</v>
      </c>
      <c r="J73" s="34">
        <v>332</v>
      </c>
      <c r="K73" s="33">
        <v>45391</v>
      </c>
      <c r="L73" s="41">
        <v>45379</v>
      </c>
      <c r="M73" s="50" t="s">
        <v>118</v>
      </c>
      <c r="N73" s="28"/>
      <c r="O73" s="28" t="s">
        <v>35</v>
      </c>
      <c r="P73" s="28"/>
      <c r="Q73" s="38">
        <v>498</v>
      </c>
      <c r="R73" s="37">
        <v>45499</v>
      </c>
      <c r="S73" s="28"/>
      <c r="T73" s="28"/>
      <c r="U73" s="28"/>
      <c r="V73" s="28"/>
      <c r="W73" s="28"/>
      <c r="X73" s="28"/>
      <c r="Y73" s="28"/>
      <c r="Z73" s="28"/>
    </row>
    <row r="74" spans="1:28" ht="15" thickBot="1" x14ac:dyDescent="0.35">
      <c r="A74" s="166" t="s">
        <v>162</v>
      </c>
      <c r="B74" s="30"/>
      <c r="C74" s="30"/>
      <c r="D74" s="68" t="s">
        <v>270</v>
      </c>
      <c r="E74" s="30" t="s">
        <v>106</v>
      </c>
      <c r="F74" s="31">
        <v>45600</v>
      </c>
      <c r="G74" s="32">
        <v>172</v>
      </c>
      <c r="H74" s="81">
        <v>45378</v>
      </c>
      <c r="I74" s="34">
        <v>990</v>
      </c>
      <c r="J74" s="30"/>
      <c r="K74" s="30" t="s">
        <v>35</v>
      </c>
      <c r="L74" s="30"/>
      <c r="M74" s="30"/>
      <c r="N74" s="30"/>
      <c r="O74" s="30" t="s">
        <v>35</v>
      </c>
      <c r="P74" s="30"/>
      <c r="Q74" s="34">
        <v>990</v>
      </c>
      <c r="R74" s="33">
        <v>45386</v>
      </c>
      <c r="S74" s="56">
        <v>45416</v>
      </c>
      <c r="T74" s="50" t="s">
        <v>140</v>
      </c>
      <c r="U74" s="28"/>
      <c r="V74" s="28"/>
      <c r="W74" s="28"/>
      <c r="X74" s="28"/>
      <c r="Y74" s="28"/>
      <c r="Z74" s="28"/>
    </row>
    <row r="75" spans="1:28" ht="15" thickBot="1" x14ac:dyDescent="0.35">
      <c r="A75" s="178" t="s">
        <v>163</v>
      </c>
      <c r="B75" s="30"/>
      <c r="C75" s="30"/>
      <c r="D75" s="30" t="s">
        <v>164</v>
      </c>
      <c r="E75" s="30" t="s">
        <v>120</v>
      </c>
      <c r="F75" s="32" t="s">
        <v>21</v>
      </c>
      <c r="G75" s="32">
        <v>173</v>
      </c>
      <c r="H75" s="81">
        <v>45378</v>
      </c>
      <c r="I75" s="34">
        <v>8350</v>
      </c>
      <c r="J75" s="34">
        <v>3340</v>
      </c>
      <c r="K75" s="33">
        <v>45397</v>
      </c>
      <c r="L75" s="41">
        <v>45384</v>
      </c>
      <c r="M75" s="50" t="s">
        <v>118</v>
      </c>
      <c r="N75" s="30"/>
      <c r="O75" s="30" t="s">
        <v>35</v>
      </c>
      <c r="P75" s="30"/>
      <c r="Q75" s="34">
        <v>5010</v>
      </c>
      <c r="R75" s="33">
        <v>45444</v>
      </c>
      <c r="S75" s="80">
        <v>45478</v>
      </c>
      <c r="T75" s="28" t="s">
        <v>140</v>
      </c>
      <c r="U75" s="28"/>
      <c r="V75" s="28"/>
      <c r="W75" s="28"/>
      <c r="X75" s="28"/>
      <c r="Y75" s="28"/>
      <c r="Z75" s="28"/>
    </row>
    <row r="76" spans="1:28" ht="15" customHeight="1" thickBot="1" x14ac:dyDescent="0.35">
      <c r="A76" s="174" t="s">
        <v>165</v>
      </c>
      <c r="B76" s="30"/>
      <c r="C76" s="30"/>
      <c r="D76" s="30" t="s">
        <v>166</v>
      </c>
      <c r="E76" s="30" t="s">
        <v>120</v>
      </c>
      <c r="F76" s="32" t="s">
        <v>21</v>
      </c>
      <c r="G76" s="32">
        <v>174</v>
      </c>
      <c r="H76" s="81">
        <v>45378</v>
      </c>
      <c r="I76" s="34">
        <v>16400</v>
      </c>
      <c r="J76" s="34">
        <v>6560</v>
      </c>
      <c r="K76" s="33">
        <v>45397</v>
      </c>
      <c r="L76" s="41">
        <v>45393</v>
      </c>
      <c r="M76" s="50" t="s">
        <v>118</v>
      </c>
      <c r="N76" s="30"/>
      <c r="O76" s="30" t="s">
        <v>35</v>
      </c>
      <c r="P76" s="30"/>
      <c r="Q76" s="34">
        <v>9840</v>
      </c>
      <c r="R76" s="33">
        <v>45444</v>
      </c>
      <c r="S76" s="90">
        <v>45462</v>
      </c>
      <c r="T76" s="28" t="s">
        <v>140</v>
      </c>
      <c r="U76" s="28"/>
      <c r="V76" s="28"/>
      <c r="W76" s="28"/>
      <c r="X76" s="28"/>
      <c r="Y76" s="28"/>
      <c r="Z76" s="28"/>
    </row>
    <row r="77" spans="1:28" ht="15" customHeight="1" thickBot="1" x14ac:dyDescent="0.35">
      <c r="A77" s="174" t="s">
        <v>167</v>
      </c>
      <c r="B77" s="30" t="s">
        <v>691</v>
      </c>
      <c r="C77" s="30"/>
      <c r="D77" s="30" t="s">
        <v>168</v>
      </c>
      <c r="E77" s="30" t="s">
        <v>120</v>
      </c>
      <c r="F77" s="32" t="s">
        <v>21</v>
      </c>
      <c r="G77" s="32" t="s">
        <v>303</v>
      </c>
      <c r="H77" s="81">
        <v>45378</v>
      </c>
      <c r="I77" s="34">
        <f>11600-755</f>
        <v>10845</v>
      </c>
      <c r="J77" s="34">
        <v>4640</v>
      </c>
      <c r="K77" s="33">
        <v>45397</v>
      </c>
      <c r="L77" s="348">
        <v>45419</v>
      </c>
      <c r="M77" s="349"/>
      <c r="N77" s="349"/>
      <c r="O77" s="349" t="s">
        <v>35</v>
      </c>
      <c r="P77" s="349"/>
      <c r="Q77" s="350">
        <f>6960-755</f>
        <v>6205</v>
      </c>
      <c r="R77" s="351">
        <v>45444</v>
      </c>
      <c r="S77" s="28" t="s">
        <v>688</v>
      </c>
      <c r="T77" s="28"/>
      <c r="U77" s="28"/>
      <c r="V77" s="28"/>
      <c r="W77" s="28"/>
      <c r="X77" s="28"/>
      <c r="Y77" s="28"/>
      <c r="Z77" s="28"/>
    </row>
    <row r="78" spans="1:28" ht="15" customHeight="1" thickBot="1" x14ac:dyDescent="0.35">
      <c r="A78" s="166" t="s">
        <v>172</v>
      </c>
      <c r="B78" s="30"/>
      <c r="C78" s="30"/>
      <c r="D78" s="30" t="s">
        <v>173</v>
      </c>
      <c r="E78" s="30" t="s">
        <v>120</v>
      </c>
      <c r="F78" s="32" t="s">
        <v>21</v>
      </c>
      <c r="G78" s="32">
        <v>176</v>
      </c>
      <c r="H78" s="81">
        <v>45378</v>
      </c>
      <c r="I78" s="34">
        <v>11600</v>
      </c>
      <c r="J78" s="34">
        <v>4640</v>
      </c>
      <c r="K78" s="35" t="s">
        <v>292</v>
      </c>
      <c r="L78" s="101">
        <v>45401</v>
      </c>
      <c r="M78" s="349"/>
      <c r="N78" s="349"/>
      <c r="O78" s="349" t="s">
        <v>35</v>
      </c>
      <c r="P78" s="349"/>
      <c r="Q78" s="350">
        <v>6960</v>
      </c>
      <c r="R78" s="351">
        <v>45444</v>
      </c>
      <c r="S78" s="28" t="s">
        <v>688</v>
      </c>
      <c r="T78" s="28"/>
      <c r="U78" s="28"/>
      <c r="V78" s="28"/>
      <c r="W78" s="28"/>
      <c r="X78" s="28"/>
      <c r="Y78" s="28"/>
      <c r="Z78" s="28"/>
    </row>
    <row r="79" spans="1:28" ht="15" customHeight="1" thickBot="1" x14ac:dyDescent="0.35">
      <c r="A79" s="174" t="s">
        <v>174</v>
      </c>
      <c r="B79" s="30" t="s">
        <v>77</v>
      </c>
      <c r="C79" s="30"/>
      <c r="D79" s="30" t="s">
        <v>271</v>
      </c>
      <c r="E79" s="30" t="s">
        <v>106</v>
      </c>
      <c r="F79" s="31">
        <v>45600</v>
      </c>
      <c r="G79" s="32">
        <v>177</v>
      </c>
      <c r="H79" s="81">
        <v>45386</v>
      </c>
      <c r="I79" s="34">
        <v>1626</v>
      </c>
      <c r="J79" s="30"/>
      <c r="K79" s="30" t="s">
        <v>35</v>
      </c>
      <c r="L79" s="30"/>
      <c r="M79" s="30"/>
      <c r="N79" s="30"/>
      <c r="O79" s="30" t="s">
        <v>35</v>
      </c>
      <c r="P79" s="30"/>
      <c r="Q79" s="34">
        <v>1626</v>
      </c>
      <c r="R79" s="33">
        <v>45447</v>
      </c>
      <c r="S79" s="56">
        <v>45393</v>
      </c>
      <c r="T79" s="50" t="s">
        <v>140</v>
      </c>
      <c r="U79" s="28"/>
      <c r="V79" s="28"/>
      <c r="W79" s="28"/>
      <c r="X79" s="28"/>
      <c r="Y79" s="28"/>
      <c r="Z79" s="28"/>
    </row>
    <row r="80" spans="1:28" ht="15" customHeight="1" thickBot="1" x14ac:dyDescent="0.35">
      <c r="A80" s="166" t="s">
        <v>175</v>
      </c>
      <c r="B80" s="30"/>
      <c r="C80" s="30"/>
      <c r="D80" s="30" t="s">
        <v>176</v>
      </c>
      <c r="E80" s="30" t="s">
        <v>106</v>
      </c>
      <c r="F80" s="31">
        <v>45565</v>
      </c>
      <c r="G80" s="32">
        <v>178</v>
      </c>
      <c r="H80" s="81">
        <v>45388</v>
      </c>
      <c r="I80" s="34">
        <v>5251</v>
      </c>
      <c r="J80" s="34">
        <v>1027.8</v>
      </c>
      <c r="K80" s="33">
        <v>45402</v>
      </c>
      <c r="L80" s="74">
        <v>45411</v>
      </c>
      <c r="M80" s="57" t="s">
        <v>118</v>
      </c>
      <c r="N80" s="30"/>
      <c r="O80" s="30" t="s">
        <v>35</v>
      </c>
      <c r="P80" s="30"/>
      <c r="Q80" s="34">
        <v>4111.2</v>
      </c>
      <c r="R80" s="33">
        <v>45505</v>
      </c>
      <c r="S80" s="90">
        <v>45502</v>
      </c>
      <c r="T80" s="28" t="s">
        <v>140</v>
      </c>
      <c r="U80" s="28" t="s">
        <v>471</v>
      </c>
      <c r="V80" s="28"/>
      <c r="W80" s="28"/>
      <c r="X80" s="28"/>
      <c r="Y80" s="28"/>
      <c r="Z80" s="28"/>
    </row>
    <row r="81" spans="1:26" ht="15" customHeight="1" thickBot="1" x14ac:dyDescent="0.35">
      <c r="A81" s="174" t="s">
        <v>177</v>
      </c>
      <c r="B81" s="30" t="s">
        <v>77</v>
      </c>
      <c r="C81" s="35" t="s">
        <v>269</v>
      </c>
      <c r="D81" s="30" t="s">
        <v>256</v>
      </c>
      <c r="E81" s="30" t="s">
        <v>106</v>
      </c>
      <c r="F81" s="31">
        <v>45494</v>
      </c>
      <c r="G81" s="32">
        <v>179</v>
      </c>
      <c r="H81" s="81">
        <v>45388</v>
      </c>
      <c r="I81" s="34">
        <v>275.2</v>
      </c>
      <c r="J81" s="30"/>
      <c r="K81" s="30" t="s">
        <v>35</v>
      </c>
      <c r="L81" s="30"/>
      <c r="M81" s="30"/>
      <c r="N81" s="30"/>
      <c r="O81" s="30" t="s">
        <v>35</v>
      </c>
      <c r="P81" s="30"/>
      <c r="Q81" s="34">
        <v>275.2</v>
      </c>
      <c r="R81" s="33">
        <v>45402</v>
      </c>
      <c r="S81" s="90">
        <v>45481</v>
      </c>
      <c r="T81" s="28" t="s">
        <v>140</v>
      </c>
      <c r="U81" s="28"/>
      <c r="V81" s="28"/>
      <c r="W81" s="28"/>
      <c r="X81" s="28"/>
      <c r="Y81" s="28"/>
      <c r="Z81" s="28"/>
    </row>
    <row r="82" spans="1:26" ht="15" customHeight="1" thickBot="1" x14ac:dyDescent="0.35">
      <c r="A82" s="166" t="s">
        <v>178</v>
      </c>
      <c r="B82" s="30" t="s">
        <v>77</v>
      </c>
      <c r="C82" s="35" t="s">
        <v>269</v>
      </c>
      <c r="D82" s="72" t="s">
        <v>179</v>
      </c>
      <c r="E82" s="30" t="s">
        <v>181</v>
      </c>
      <c r="F82" s="31">
        <v>45357</v>
      </c>
      <c r="G82" s="32">
        <v>180</v>
      </c>
      <c r="H82" s="81" t="s">
        <v>294</v>
      </c>
      <c r="I82" s="34">
        <v>1553</v>
      </c>
      <c r="J82" s="34">
        <v>310.60000000000002</v>
      </c>
      <c r="K82" s="33">
        <v>45402</v>
      </c>
      <c r="L82" s="101">
        <v>45401</v>
      </c>
      <c r="M82" s="28"/>
      <c r="N82" s="28"/>
      <c r="O82" s="28" t="s">
        <v>35</v>
      </c>
      <c r="P82" s="28"/>
      <c r="Q82" s="38">
        <v>1242.4000000000001</v>
      </c>
      <c r="R82" s="37">
        <v>45296</v>
      </c>
      <c r="S82" s="28"/>
      <c r="T82" s="28"/>
      <c r="U82" s="28"/>
      <c r="V82" s="28"/>
      <c r="W82" s="28"/>
      <c r="X82" s="28"/>
      <c r="Y82" s="28"/>
      <c r="Z82" s="28"/>
    </row>
    <row r="83" spans="1:26" ht="15" customHeight="1" thickBot="1" x14ac:dyDescent="0.35">
      <c r="A83" s="174" t="s">
        <v>180</v>
      </c>
      <c r="B83" s="30" t="s">
        <v>77</v>
      </c>
      <c r="C83" s="33">
        <v>45539</v>
      </c>
      <c r="D83" s="30" t="s">
        <v>256</v>
      </c>
      <c r="E83" s="30" t="s">
        <v>181</v>
      </c>
      <c r="F83" s="31">
        <v>45472</v>
      </c>
      <c r="G83" s="32">
        <v>181</v>
      </c>
      <c r="H83" s="81">
        <v>45391</v>
      </c>
      <c r="I83" s="34">
        <v>1307</v>
      </c>
      <c r="J83" s="30"/>
      <c r="K83" s="30" t="s">
        <v>35</v>
      </c>
      <c r="L83" s="30"/>
      <c r="M83" s="30"/>
      <c r="N83" s="30"/>
      <c r="O83" s="30" t="s">
        <v>35</v>
      </c>
      <c r="P83" s="30"/>
      <c r="Q83" s="34">
        <v>522.79999999999995</v>
      </c>
      <c r="R83" s="33">
        <v>45402</v>
      </c>
      <c r="S83" s="56">
        <v>45399</v>
      </c>
      <c r="T83" s="50" t="s">
        <v>140</v>
      </c>
      <c r="U83" s="28"/>
      <c r="V83" s="28"/>
      <c r="W83" s="28"/>
      <c r="X83" s="28"/>
      <c r="Y83" s="28"/>
      <c r="Z83" s="28"/>
    </row>
    <row r="84" spans="1:26" ht="15" customHeight="1" thickBot="1" x14ac:dyDescent="0.35">
      <c r="A84" s="179" t="s">
        <v>272</v>
      </c>
      <c r="B84" s="28" t="s">
        <v>77</v>
      </c>
      <c r="C84" s="37">
        <v>45539</v>
      </c>
      <c r="D84" s="28" t="s">
        <v>256</v>
      </c>
      <c r="E84" s="28" t="s">
        <v>181</v>
      </c>
      <c r="F84" s="36">
        <v>45473</v>
      </c>
      <c r="G84" s="29">
        <v>182</v>
      </c>
      <c r="H84" s="82">
        <v>45392</v>
      </c>
      <c r="I84" s="38">
        <v>849</v>
      </c>
      <c r="J84" s="28"/>
      <c r="K84" s="28" t="s">
        <v>35</v>
      </c>
      <c r="L84" s="28"/>
      <c r="M84" s="28"/>
      <c r="N84" s="28"/>
      <c r="O84" s="28" t="s">
        <v>35</v>
      </c>
      <c r="P84" s="28"/>
      <c r="Q84" s="38">
        <v>339.6</v>
      </c>
      <c r="R84" s="37">
        <v>45402</v>
      </c>
      <c r="S84" s="28"/>
      <c r="T84" s="28"/>
      <c r="U84" s="28"/>
      <c r="V84" s="28"/>
      <c r="W84" s="28"/>
      <c r="X84" s="28"/>
      <c r="Y84" s="28"/>
      <c r="Z84" s="28"/>
    </row>
    <row r="85" spans="1:26" ht="15" customHeight="1" thickBot="1" x14ac:dyDescent="0.35">
      <c r="A85" s="164" t="s">
        <v>185</v>
      </c>
      <c r="B85" s="28"/>
      <c r="C85" s="28"/>
      <c r="D85" s="28" t="s">
        <v>75</v>
      </c>
      <c r="E85" s="28" t="s">
        <v>107</v>
      </c>
      <c r="F85" s="36">
        <v>45496</v>
      </c>
      <c r="G85" s="29">
        <v>183</v>
      </c>
      <c r="H85" s="82">
        <v>45401</v>
      </c>
      <c r="I85" s="38">
        <v>730</v>
      </c>
      <c r="J85" s="28"/>
      <c r="K85" s="28" t="s">
        <v>35</v>
      </c>
      <c r="L85" s="28"/>
      <c r="M85" s="28"/>
      <c r="N85" s="28"/>
      <c r="O85" s="28" t="s">
        <v>35</v>
      </c>
      <c r="P85" s="28"/>
      <c r="Q85" s="38">
        <v>292</v>
      </c>
      <c r="R85" s="37">
        <v>45412</v>
      </c>
      <c r="S85" s="28"/>
      <c r="T85" s="28"/>
      <c r="U85" s="28"/>
      <c r="V85" s="28"/>
      <c r="W85" s="28"/>
      <c r="X85" s="28"/>
      <c r="Y85" s="28"/>
      <c r="Z85" s="28"/>
    </row>
    <row r="86" spans="1:26" ht="15" customHeight="1" thickBot="1" x14ac:dyDescent="0.35">
      <c r="A86" s="166" t="s">
        <v>187</v>
      </c>
      <c r="B86" s="30"/>
      <c r="C86" s="89">
        <v>45390</v>
      </c>
      <c r="D86" s="30" t="s">
        <v>188</v>
      </c>
      <c r="E86" s="30" t="s">
        <v>109</v>
      </c>
      <c r="F86" s="31">
        <v>45568</v>
      </c>
      <c r="G86" s="32">
        <v>184</v>
      </c>
      <c r="H86" s="81">
        <v>45401</v>
      </c>
      <c r="I86" s="34">
        <v>2040</v>
      </c>
      <c r="J86" s="34">
        <v>408</v>
      </c>
      <c r="K86" s="33">
        <v>45412</v>
      </c>
      <c r="L86" s="28"/>
      <c r="M86" s="28"/>
      <c r="N86" s="28"/>
      <c r="O86" s="28" t="s">
        <v>35</v>
      </c>
      <c r="P86" s="28"/>
      <c r="Q86" s="38">
        <v>1632</v>
      </c>
      <c r="R86" s="37">
        <v>45530</v>
      </c>
      <c r="S86" s="28"/>
      <c r="T86" s="28"/>
      <c r="U86" s="28"/>
      <c r="V86" s="28"/>
      <c r="W86" s="28"/>
      <c r="X86" s="28"/>
      <c r="Y86" s="28"/>
      <c r="Z86" s="28"/>
    </row>
    <row r="87" spans="1:26" ht="15" customHeight="1" thickBot="1" x14ac:dyDescent="0.35">
      <c r="A87" s="180" t="s">
        <v>189</v>
      </c>
      <c r="B87" s="129"/>
      <c r="C87" s="129"/>
      <c r="D87" s="129" t="s">
        <v>190</v>
      </c>
      <c r="E87" s="129" t="s">
        <v>109</v>
      </c>
      <c r="F87" s="129"/>
      <c r="G87" s="130">
        <v>185</v>
      </c>
      <c r="H87" s="131">
        <v>45401</v>
      </c>
      <c r="I87" s="132">
        <v>70</v>
      </c>
      <c r="J87" s="129"/>
      <c r="K87" s="129" t="s">
        <v>35</v>
      </c>
      <c r="L87" s="129"/>
      <c r="M87" s="129"/>
      <c r="N87" s="129"/>
      <c r="O87" s="129" t="s">
        <v>35</v>
      </c>
      <c r="P87" s="129"/>
      <c r="Q87" s="132">
        <v>70</v>
      </c>
      <c r="R87" s="135">
        <v>45400</v>
      </c>
      <c r="S87" s="28"/>
      <c r="T87" s="28"/>
      <c r="U87" s="28"/>
      <c r="V87" s="28"/>
      <c r="W87" s="28"/>
      <c r="X87" s="28"/>
      <c r="Y87" s="28"/>
      <c r="Z87" s="28"/>
    </row>
    <row r="88" spans="1:26" ht="15" customHeight="1" thickBot="1" x14ac:dyDescent="0.35">
      <c r="A88" s="181" t="s">
        <v>189</v>
      </c>
      <c r="B88" s="129" t="s">
        <v>230</v>
      </c>
      <c r="C88" s="378" t="s">
        <v>231</v>
      </c>
      <c r="D88" s="379"/>
      <c r="E88" s="378" t="s">
        <v>100</v>
      </c>
      <c r="F88" s="379"/>
      <c r="G88" s="130">
        <v>18252</v>
      </c>
      <c r="H88" s="133">
        <v>45422</v>
      </c>
      <c r="I88" s="134">
        <v>70</v>
      </c>
      <c r="J88" s="129"/>
      <c r="K88" s="129"/>
      <c r="L88" s="129"/>
      <c r="M88" s="129"/>
      <c r="N88" s="129"/>
      <c r="O88" s="129"/>
      <c r="P88" s="129"/>
      <c r="Q88" s="129"/>
      <c r="R88" s="129"/>
      <c r="S88" s="28"/>
      <c r="T88" s="28"/>
      <c r="U88" s="28"/>
      <c r="V88" s="28"/>
      <c r="W88" s="28"/>
      <c r="X88" s="28"/>
      <c r="Y88" s="28"/>
      <c r="Z88" s="28"/>
    </row>
    <row r="89" spans="1:26" ht="15" customHeight="1" thickBot="1" x14ac:dyDescent="0.35">
      <c r="A89" s="182" t="s">
        <v>195</v>
      </c>
      <c r="B89" s="30"/>
      <c r="C89" s="30"/>
      <c r="D89" s="73" t="s">
        <v>196</v>
      </c>
      <c r="E89" s="30" t="s">
        <v>181</v>
      </c>
      <c r="F89" s="31">
        <v>45486</v>
      </c>
      <c r="G89" s="32">
        <v>186</v>
      </c>
      <c r="H89" s="81">
        <v>45402</v>
      </c>
      <c r="I89" s="34">
        <v>910</v>
      </c>
      <c r="J89" s="34">
        <v>182</v>
      </c>
      <c r="K89" s="33">
        <v>45414</v>
      </c>
      <c r="L89" s="74">
        <v>45408</v>
      </c>
      <c r="M89" s="50" t="s">
        <v>118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" customHeight="1" thickBot="1" x14ac:dyDescent="0.35">
      <c r="A90" s="166" t="s">
        <v>191</v>
      </c>
      <c r="B90" s="30"/>
      <c r="C90" s="30"/>
      <c r="D90" s="30" t="s">
        <v>273</v>
      </c>
      <c r="E90" s="30" t="s">
        <v>107</v>
      </c>
      <c r="F90" s="31">
        <v>45417</v>
      </c>
      <c r="G90" s="32">
        <v>187</v>
      </c>
      <c r="H90" s="81">
        <v>45402</v>
      </c>
      <c r="I90" s="34">
        <v>292</v>
      </c>
      <c r="J90" s="30"/>
      <c r="K90" s="30" t="s">
        <v>35</v>
      </c>
      <c r="L90" s="30"/>
      <c r="M90" s="30"/>
      <c r="N90" s="30"/>
      <c r="O90" s="30" t="s">
        <v>35</v>
      </c>
      <c r="P90" s="30"/>
      <c r="Q90" s="34">
        <v>292</v>
      </c>
      <c r="R90" s="33">
        <v>45407</v>
      </c>
      <c r="S90" s="74">
        <v>45405</v>
      </c>
      <c r="T90" s="50" t="s">
        <v>140</v>
      </c>
      <c r="U90" s="28"/>
      <c r="V90" s="28"/>
      <c r="W90" s="28"/>
      <c r="X90" s="28"/>
      <c r="Y90" s="28"/>
      <c r="Z90" s="28"/>
    </row>
    <row r="91" spans="1:26" ht="15" customHeight="1" thickBot="1" x14ac:dyDescent="0.35">
      <c r="A91" s="166" t="s">
        <v>183</v>
      </c>
      <c r="B91" s="30"/>
      <c r="C91" s="30"/>
      <c r="D91" s="30" t="s">
        <v>193</v>
      </c>
      <c r="E91" s="30" t="s">
        <v>107</v>
      </c>
      <c r="F91" s="31">
        <v>45565</v>
      </c>
      <c r="G91" s="32">
        <v>188</v>
      </c>
      <c r="H91" s="81">
        <v>45402</v>
      </c>
      <c r="I91" s="34">
        <v>67.2</v>
      </c>
      <c r="J91" s="30"/>
      <c r="K91" s="30" t="s">
        <v>35</v>
      </c>
      <c r="L91" s="30"/>
      <c r="M91" s="30"/>
      <c r="N91" s="30"/>
      <c r="O91" s="30" t="s">
        <v>35</v>
      </c>
      <c r="P91" s="30"/>
      <c r="Q91" s="34">
        <v>67.2</v>
      </c>
      <c r="R91" s="33">
        <v>45416</v>
      </c>
      <c r="S91" s="90">
        <v>45411</v>
      </c>
      <c r="T91" s="28"/>
      <c r="U91" s="28"/>
      <c r="V91" s="28"/>
      <c r="W91" s="28"/>
      <c r="X91" s="28"/>
      <c r="Y91" s="28"/>
      <c r="Z91" s="28"/>
    </row>
    <row r="92" spans="1:26" ht="15" customHeight="1" thickBot="1" x14ac:dyDescent="0.35">
      <c r="A92" s="166" t="s">
        <v>210</v>
      </c>
      <c r="B92" s="30"/>
      <c r="C92" s="30"/>
      <c r="D92" s="30" t="s">
        <v>197</v>
      </c>
      <c r="E92" s="30" t="s">
        <v>109</v>
      </c>
      <c r="F92" s="31">
        <v>45597</v>
      </c>
      <c r="G92" s="32">
        <v>189</v>
      </c>
      <c r="H92" s="81">
        <v>45405</v>
      </c>
      <c r="I92" s="34">
        <v>810</v>
      </c>
      <c r="J92" s="34">
        <v>162</v>
      </c>
      <c r="K92" s="33">
        <v>45414</v>
      </c>
      <c r="L92" s="70">
        <v>45408</v>
      </c>
      <c r="M92" s="57" t="s">
        <v>118</v>
      </c>
      <c r="N92" s="30"/>
      <c r="O92" s="30" t="s">
        <v>35</v>
      </c>
      <c r="P92" s="30"/>
      <c r="Q92" s="34">
        <v>648</v>
      </c>
      <c r="R92" s="33">
        <v>45561</v>
      </c>
      <c r="S92" s="90">
        <v>45554</v>
      </c>
      <c r="T92" s="28" t="s">
        <v>363</v>
      </c>
      <c r="U92" s="28"/>
      <c r="V92" s="28"/>
      <c r="W92" s="28"/>
      <c r="X92" s="28"/>
      <c r="Y92" s="28"/>
      <c r="Z92" s="28"/>
    </row>
    <row r="93" spans="1:26" ht="15" customHeight="1" thickBot="1" x14ac:dyDescent="0.35">
      <c r="A93" s="166" t="s">
        <v>198</v>
      </c>
      <c r="B93" s="30"/>
      <c r="C93" s="30"/>
      <c r="D93" s="30" t="s">
        <v>199</v>
      </c>
      <c r="E93" s="30" t="s">
        <v>109</v>
      </c>
      <c r="F93" s="31">
        <v>45585</v>
      </c>
      <c r="G93" s="32">
        <v>190</v>
      </c>
      <c r="H93" s="81">
        <v>45405</v>
      </c>
      <c r="I93" s="34">
        <v>1110</v>
      </c>
      <c r="J93" s="34">
        <v>222</v>
      </c>
      <c r="K93" s="33">
        <v>45414</v>
      </c>
      <c r="L93" s="101">
        <v>45411</v>
      </c>
      <c r="M93" s="57" t="s">
        <v>118</v>
      </c>
      <c r="N93" s="30"/>
      <c r="O93" s="30" t="s">
        <v>35</v>
      </c>
      <c r="P93" s="30"/>
      <c r="Q93" s="34">
        <v>888</v>
      </c>
      <c r="R93" s="33">
        <v>45530</v>
      </c>
      <c r="S93" s="90">
        <v>45530</v>
      </c>
      <c r="T93" s="28" t="s">
        <v>363</v>
      </c>
      <c r="U93" s="28"/>
      <c r="V93" s="28"/>
      <c r="W93" s="28"/>
      <c r="X93" s="28"/>
      <c r="Y93" s="28"/>
      <c r="Z93" s="28"/>
    </row>
    <row r="94" spans="1:26" ht="15" customHeight="1" thickBot="1" x14ac:dyDescent="0.35">
      <c r="A94" s="166" t="s">
        <v>198</v>
      </c>
      <c r="B94" s="30"/>
      <c r="C94" s="30"/>
      <c r="D94" s="30" t="s">
        <v>200</v>
      </c>
      <c r="E94" s="30" t="s">
        <v>109</v>
      </c>
      <c r="F94" s="31">
        <v>45599</v>
      </c>
      <c r="G94" s="32">
        <v>191</v>
      </c>
      <c r="H94" s="81">
        <v>45405</v>
      </c>
      <c r="I94" s="34">
        <v>3580</v>
      </c>
      <c r="J94" s="34">
        <v>716</v>
      </c>
      <c r="K94" s="33">
        <v>45414</v>
      </c>
      <c r="L94" s="101">
        <v>45411</v>
      </c>
      <c r="M94" s="57" t="s">
        <v>118</v>
      </c>
      <c r="N94" s="30"/>
      <c r="O94" s="30" t="s">
        <v>35</v>
      </c>
      <c r="P94" s="30"/>
      <c r="Q94" s="34">
        <v>2864</v>
      </c>
      <c r="R94" s="33">
        <v>45561</v>
      </c>
      <c r="S94" s="90">
        <v>45530</v>
      </c>
      <c r="T94" s="28" t="s">
        <v>363</v>
      </c>
      <c r="U94" s="28"/>
      <c r="V94" s="28"/>
      <c r="W94" s="28"/>
      <c r="X94" s="28"/>
      <c r="Y94" s="28"/>
      <c r="Z94" s="28"/>
    </row>
    <row r="95" spans="1:26" ht="15" customHeight="1" thickBot="1" x14ac:dyDescent="0.35">
      <c r="A95" s="166" t="s">
        <v>274</v>
      </c>
      <c r="B95" s="30" t="s">
        <v>77</v>
      </c>
      <c r="C95" s="33">
        <v>45401</v>
      </c>
      <c r="D95" s="30" t="s">
        <v>201</v>
      </c>
      <c r="E95" s="30" t="s">
        <v>109</v>
      </c>
      <c r="F95" s="31">
        <v>45509</v>
      </c>
      <c r="G95" s="32" t="s">
        <v>290</v>
      </c>
      <c r="H95" s="81">
        <v>45405</v>
      </c>
      <c r="I95" s="34">
        <f>934+70</f>
        <v>1004</v>
      </c>
      <c r="J95" s="34">
        <f>186.8+14</f>
        <v>200.8</v>
      </c>
      <c r="K95" s="55">
        <v>45415</v>
      </c>
      <c r="L95" s="78" t="s">
        <v>291</v>
      </c>
      <c r="M95" s="90">
        <v>45433</v>
      </c>
      <c r="N95" s="28" t="s">
        <v>304</v>
      </c>
      <c r="O95" s="30"/>
      <c r="P95" s="30"/>
      <c r="Q95" s="34">
        <f>747.2+56</f>
        <v>803.2</v>
      </c>
      <c r="R95" s="33">
        <v>45473</v>
      </c>
      <c r="S95" s="90">
        <v>45474</v>
      </c>
      <c r="T95" s="28" t="s">
        <v>394</v>
      </c>
      <c r="U95" s="125" t="s">
        <v>393</v>
      </c>
      <c r="V95" s="28"/>
      <c r="W95" s="28"/>
      <c r="X95" s="28"/>
      <c r="Y95" s="28"/>
      <c r="Z95" s="28"/>
    </row>
    <row r="96" spans="1:26" ht="15" customHeight="1" thickBot="1" x14ac:dyDescent="0.35">
      <c r="A96" s="318" t="s">
        <v>202</v>
      </c>
      <c r="B96" s="319" t="s">
        <v>77</v>
      </c>
      <c r="C96" s="320">
        <v>45397</v>
      </c>
      <c r="D96" s="319" t="s">
        <v>203</v>
      </c>
      <c r="E96" s="319" t="s">
        <v>109</v>
      </c>
      <c r="F96" s="321">
        <v>45698</v>
      </c>
      <c r="G96" s="322">
        <v>193</v>
      </c>
      <c r="H96" s="323">
        <v>45408</v>
      </c>
      <c r="I96" s="324">
        <v>523</v>
      </c>
      <c r="J96" s="324">
        <v>104.6</v>
      </c>
      <c r="K96" s="320">
        <v>45420</v>
      </c>
      <c r="L96" s="319"/>
      <c r="M96" s="319"/>
      <c r="N96" s="319"/>
      <c r="O96" s="319" t="s">
        <v>35</v>
      </c>
      <c r="P96" s="319"/>
      <c r="Q96" s="324">
        <v>418.4</v>
      </c>
      <c r="R96" s="320">
        <v>45649</v>
      </c>
      <c r="S96" s="319" t="s">
        <v>686</v>
      </c>
      <c r="T96" s="319" t="s">
        <v>687</v>
      </c>
      <c r="U96" s="28"/>
      <c r="V96" s="28"/>
      <c r="W96" s="28"/>
      <c r="X96" s="28"/>
      <c r="Y96" s="28"/>
      <c r="Z96" s="28"/>
    </row>
    <row r="97" spans="1:26" ht="15" customHeight="1" thickBot="1" x14ac:dyDescent="0.35">
      <c r="A97" s="170" t="s">
        <v>204</v>
      </c>
      <c r="B97" s="30" t="s">
        <v>77</v>
      </c>
      <c r="C97" s="33">
        <v>45406</v>
      </c>
      <c r="D97" s="66" t="s">
        <v>275</v>
      </c>
      <c r="E97" s="30" t="s">
        <v>107</v>
      </c>
      <c r="F97" s="31">
        <v>45479</v>
      </c>
      <c r="G97" s="32">
        <v>194</v>
      </c>
      <c r="H97" s="81">
        <v>45408</v>
      </c>
      <c r="I97" s="34">
        <v>1337</v>
      </c>
      <c r="J97" s="30"/>
      <c r="K97" s="30" t="s">
        <v>35</v>
      </c>
      <c r="L97" s="30"/>
      <c r="M97" s="30"/>
      <c r="N97" s="30"/>
      <c r="O97" s="30" t="s">
        <v>35</v>
      </c>
      <c r="P97" s="30"/>
      <c r="Q97" s="34">
        <v>534.79999999999995</v>
      </c>
      <c r="R97" s="33">
        <v>45420</v>
      </c>
      <c r="S97" s="70">
        <v>45414</v>
      </c>
      <c r="T97" s="373" t="s">
        <v>232</v>
      </c>
      <c r="U97" s="374"/>
      <c r="V97" s="28" t="s">
        <v>305</v>
      </c>
      <c r="W97" s="28"/>
      <c r="X97" s="28"/>
      <c r="Y97" s="28"/>
      <c r="Z97" s="28"/>
    </row>
    <row r="98" spans="1:26" ht="15" customHeight="1" thickBot="1" x14ac:dyDescent="0.35">
      <c r="A98" s="166" t="s">
        <v>206</v>
      </c>
      <c r="B98" s="30"/>
      <c r="C98" s="30"/>
      <c r="D98" s="30" t="s">
        <v>276</v>
      </c>
      <c r="E98" s="30" t="s">
        <v>106</v>
      </c>
      <c r="F98" s="31">
        <v>45647</v>
      </c>
      <c r="G98" s="32">
        <v>195</v>
      </c>
      <c r="H98" s="81">
        <v>45408</v>
      </c>
      <c r="I98" s="34">
        <v>860</v>
      </c>
      <c r="J98" s="34">
        <v>172</v>
      </c>
      <c r="K98" s="33">
        <v>45420</v>
      </c>
      <c r="L98" s="74">
        <v>45419</v>
      </c>
      <c r="M98" s="375" t="s">
        <v>118</v>
      </c>
      <c r="N98" s="376"/>
      <c r="O98" s="30" t="s">
        <v>35</v>
      </c>
      <c r="P98" s="30"/>
      <c r="Q98" s="34">
        <v>688</v>
      </c>
      <c r="R98" s="33">
        <v>45604</v>
      </c>
      <c r="S98" s="75">
        <v>45604</v>
      </c>
      <c r="T98" s="28" t="s">
        <v>621</v>
      </c>
      <c r="U98" s="28"/>
      <c r="V98" s="28"/>
      <c r="W98" s="28"/>
      <c r="X98" s="28"/>
      <c r="Y98" s="28"/>
      <c r="Z98" s="28"/>
    </row>
    <row r="99" spans="1:26" ht="15" customHeight="1" thickBot="1" x14ac:dyDescent="0.35">
      <c r="A99" s="166" t="s">
        <v>207</v>
      </c>
      <c r="B99" s="30" t="s">
        <v>77</v>
      </c>
      <c r="C99" s="33">
        <v>45406</v>
      </c>
      <c r="D99" s="30" t="s">
        <v>277</v>
      </c>
      <c r="E99" s="30" t="s">
        <v>109</v>
      </c>
      <c r="F99" s="31">
        <v>45568</v>
      </c>
      <c r="G99" s="32">
        <v>196</v>
      </c>
      <c r="H99" s="81">
        <v>45408</v>
      </c>
      <c r="I99" s="34">
        <v>901</v>
      </c>
      <c r="J99" s="34">
        <v>180.2</v>
      </c>
      <c r="K99" s="33">
        <v>45420</v>
      </c>
      <c r="L99" s="74">
        <v>45411</v>
      </c>
      <c r="M99" s="30"/>
      <c r="N99" s="30"/>
      <c r="O99" s="30" t="s">
        <v>35</v>
      </c>
      <c r="P99" s="30"/>
      <c r="Q99" s="34">
        <v>720.8</v>
      </c>
      <c r="R99" s="33">
        <v>45530</v>
      </c>
      <c r="S99" s="71" t="s">
        <v>278</v>
      </c>
      <c r="T99" s="50" t="s">
        <v>140</v>
      </c>
      <c r="U99" s="28"/>
      <c r="V99" s="28"/>
      <c r="W99" s="28"/>
      <c r="X99" s="28"/>
      <c r="Y99" s="28"/>
      <c r="Z99" s="28"/>
    </row>
    <row r="100" spans="1:26" ht="15" customHeight="1" thickBot="1" x14ac:dyDescent="0.35">
      <c r="A100" s="166" t="s">
        <v>208</v>
      </c>
      <c r="B100" s="30"/>
      <c r="C100" s="33">
        <v>45404</v>
      </c>
      <c r="D100" s="30" t="s">
        <v>209</v>
      </c>
      <c r="E100" s="30" t="s">
        <v>109</v>
      </c>
      <c r="F100" s="31">
        <v>45529</v>
      </c>
      <c r="G100" s="32">
        <v>197</v>
      </c>
      <c r="H100" s="81">
        <v>45408</v>
      </c>
      <c r="I100" s="34">
        <v>1340</v>
      </c>
      <c r="J100" s="34">
        <v>268</v>
      </c>
      <c r="K100" s="33">
        <v>45420</v>
      </c>
      <c r="L100" s="74">
        <v>45412</v>
      </c>
      <c r="M100" s="50" t="s">
        <v>118</v>
      </c>
      <c r="N100" s="30"/>
      <c r="O100" s="30" t="s">
        <v>35</v>
      </c>
      <c r="P100" s="30"/>
      <c r="Q100" s="34">
        <v>1072</v>
      </c>
      <c r="R100" s="33">
        <v>45484</v>
      </c>
      <c r="S100" s="90">
        <v>45482</v>
      </c>
      <c r="T100" s="28" t="s">
        <v>140</v>
      </c>
      <c r="U100" s="28"/>
      <c r="V100" s="28"/>
      <c r="W100" s="28"/>
      <c r="X100" s="28"/>
      <c r="Y100" s="28"/>
      <c r="Z100" s="28"/>
    </row>
    <row r="101" spans="1:26" ht="15" customHeight="1" thickBot="1" x14ac:dyDescent="0.35">
      <c r="A101" s="166" t="s">
        <v>211</v>
      </c>
      <c r="B101" s="30"/>
      <c r="C101" s="33">
        <v>45410</v>
      </c>
      <c r="D101" s="30" t="s">
        <v>279</v>
      </c>
      <c r="E101" s="30" t="s">
        <v>106</v>
      </c>
      <c r="F101" s="31">
        <v>45636</v>
      </c>
      <c r="G101" s="32">
        <v>198</v>
      </c>
      <c r="H101" s="81">
        <v>45414</v>
      </c>
      <c r="I101" s="34">
        <v>470</v>
      </c>
      <c r="J101" s="34">
        <v>94</v>
      </c>
      <c r="K101" s="33">
        <v>45428</v>
      </c>
      <c r="L101" s="74">
        <v>45415</v>
      </c>
      <c r="M101" s="57" t="s">
        <v>118</v>
      </c>
      <c r="N101" s="30"/>
      <c r="O101" s="30" t="s">
        <v>35</v>
      </c>
      <c r="P101" s="30"/>
      <c r="Q101" s="34">
        <v>376</v>
      </c>
      <c r="R101" s="33">
        <v>45597</v>
      </c>
      <c r="S101" s="90">
        <v>45590</v>
      </c>
      <c r="T101" s="28" t="s">
        <v>581</v>
      </c>
      <c r="U101" s="28"/>
      <c r="V101" s="28"/>
      <c r="W101" s="28"/>
      <c r="X101" s="28"/>
      <c r="Y101" s="28"/>
      <c r="Z101" s="28"/>
    </row>
    <row r="102" spans="1:26" ht="15" customHeight="1" thickBot="1" x14ac:dyDescent="0.35">
      <c r="A102" s="170" t="s">
        <v>212</v>
      </c>
      <c r="B102" s="30" t="s">
        <v>77</v>
      </c>
      <c r="C102" s="33">
        <v>45373</v>
      </c>
      <c r="D102" s="30" t="s">
        <v>280</v>
      </c>
      <c r="E102" s="30" t="s">
        <v>109</v>
      </c>
      <c r="F102" s="31">
        <v>45585</v>
      </c>
      <c r="G102" s="32">
        <v>199</v>
      </c>
      <c r="H102" s="81">
        <v>45414</v>
      </c>
      <c r="I102" s="34">
        <v>1464</v>
      </c>
      <c r="J102" s="34">
        <v>292.8</v>
      </c>
      <c r="K102" s="33">
        <v>45429</v>
      </c>
      <c r="L102" s="90">
        <v>45426</v>
      </c>
      <c r="M102" s="30"/>
      <c r="N102" s="30"/>
      <c r="O102" s="30" t="s">
        <v>35</v>
      </c>
      <c r="P102" s="30"/>
      <c r="Q102" s="34">
        <v>1171.2</v>
      </c>
      <c r="R102" s="33">
        <v>45545</v>
      </c>
      <c r="S102" s="90">
        <v>45538</v>
      </c>
      <c r="T102" s="28" t="s">
        <v>363</v>
      </c>
      <c r="U102" s="28"/>
      <c r="V102" s="28"/>
      <c r="W102" s="28"/>
      <c r="X102" s="28"/>
      <c r="Y102" s="28"/>
      <c r="Z102" s="28"/>
    </row>
    <row r="103" spans="1:26" ht="15" customHeight="1" thickBot="1" x14ac:dyDescent="0.35">
      <c r="A103" s="171" t="s">
        <v>213</v>
      </c>
      <c r="B103" s="114" t="s">
        <v>77</v>
      </c>
      <c r="C103" s="49">
        <v>45398</v>
      </c>
      <c r="D103" s="114" t="s">
        <v>281</v>
      </c>
      <c r="E103" s="114" t="s">
        <v>109</v>
      </c>
      <c r="F103" s="116">
        <v>45596</v>
      </c>
      <c r="G103" s="117">
        <v>200</v>
      </c>
      <c r="H103" s="118">
        <v>45414</v>
      </c>
      <c r="I103" s="48">
        <v>860</v>
      </c>
      <c r="J103" s="48">
        <v>172</v>
      </c>
      <c r="K103" s="49">
        <v>45429</v>
      </c>
      <c r="L103" s="30" t="s">
        <v>418</v>
      </c>
      <c r="M103" s="89"/>
      <c r="N103" s="30"/>
      <c r="O103" s="30" t="s">
        <v>35</v>
      </c>
      <c r="P103" s="30"/>
      <c r="Q103" s="34">
        <v>688</v>
      </c>
      <c r="R103" s="33">
        <v>45555</v>
      </c>
      <c r="S103" s="90">
        <v>45488</v>
      </c>
      <c r="T103" s="28" t="s">
        <v>140</v>
      </c>
      <c r="U103" s="28"/>
      <c r="V103" s="28"/>
      <c r="W103" s="28"/>
      <c r="X103" s="28"/>
      <c r="Y103" s="28"/>
      <c r="Z103" s="28"/>
    </row>
    <row r="104" spans="1:26" ht="15" customHeight="1" thickBot="1" x14ac:dyDescent="0.35">
      <c r="A104" s="170" t="s">
        <v>214</v>
      </c>
      <c r="B104" s="30" t="s">
        <v>77</v>
      </c>
      <c r="C104" s="33">
        <v>45408</v>
      </c>
      <c r="D104" s="92" t="s">
        <v>282</v>
      </c>
      <c r="E104" s="30" t="s">
        <v>181</v>
      </c>
      <c r="F104" s="31">
        <v>45488</v>
      </c>
      <c r="G104" s="32">
        <v>201</v>
      </c>
      <c r="H104" s="81">
        <v>45414</v>
      </c>
      <c r="I104" s="34">
        <v>1969</v>
      </c>
      <c r="J104" s="38">
        <v>157.52000000000001</v>
      </c>
      <c r="K104" s="37">
        <v>45429</v>
      </c>
      <c r="L104" s="30"/>
      <c r="M104" s="30"/>
      <c r="N104" s="30"/>
      <c r="O104" s="30" t="s">
        <v>35</v>
      </c>
      <c r="P104" s="30"/>
      <c r="Q104" s="34">
        <v>630.08000000000004</v>
      </c>
      <c r="R104" s="33">
        <v>45446</v>
      </c>
      <c r="S104" s="28"/>
      <c r="T104" s="28"/>
      <c r="U104" s="28"/>
      <c r="V104" s="28"/>
      <c r="W104" s="28"/>
      <c r="X104" s="28"/>
      <c r="Y104" s="28"/>
      <c r="Z104" s="28"/>
    </row>
    <row r="105" spans="1:26" ht="15" customHeight="1" thickBot="1" x14ac:dyDescent="0.35">
      <c r="A105" s="183" t="s">
        <v>216</v>
      </c>
      <c r="B105" s="136" t="s">
        <v>77</v>
      </c>
      <c r="C105" s="137">
        <v>45411</v>
      </c>
      <c r="D105" s="136" t="s">
        <v>217</v>
      </c>
      <c r="E105" s="136" t="s">
        <v>106</v>
      </c>
      <c r="F105" s="138">
        <v>45505</v>
      </c>
      <c r="G105" s="139">
        <v>202</v>
      </c>
      <c r="H105" s="140">
        <v>45416</v>
      </c>
      <c r="I105" s="141">
        <v>1185</v>
      </c>
      <c r="J105" s="141">
        <v>237</v>
      </c>
      <c r="K105" s="137">
        <v>45430</v>
      </c>
      <c r="L105" s="136"/>
      <c r="M105" s="136"/>
      <c r="N105" s="136"/>
      <c r="O105" s="136" t="s">
        <v>35</v>
      </c>
      <c r="P105" s="136"/>
      <c r="Q105" s="141">
        <v>948</v>
      </c>
      <c r="R105" s="137">
        <v>45460</v>
      </c>
      <c r="S105" s="28" t="s">
        <v>418</v>
      </c>
      <c r="T105" s="28"/>
      <c r="U105" s="28"/>
      <c r="V105" s="28"/>
      <c r="W105" s="28"/>
      <c r="X105" s="28"/>
      <c r="Y105" s="28"/>
      <c r="Z105" s="28"/>
    </row>
    <row r="106" spans="1:26" ht="15" customHeight="1" thickBot="1" x14ac:dyDescent="0.35">
      <c r="A106" s="166" t="s">
        <v>218</v>
      </c>
      <c r="B106" s="30"/>
      <c r="C106" s="33">
        <v>45414</v>
      </c>
      <c r="D106" s="30" t="s">
        <v>219</v>
      </c>
      <c r="E106" s="30" t="s">
        <v>106</v>
      </c>
      <c r="F106" s="31">
        <v>45586</v>
      </c>
      <c r="G106" s="32">
        <v>203</v>
      </c>
      <c r="H106" s="81">
        <v>45419</v>
      </c>
      <c r="I106" s="34">
        <v>2510</v>
      </c>
      <c r="J106" s="34">
        <v>502</v>
      </c>
      <c r="K106" s="33">
        <v>45404</v>
      </c>
      <c r="L106" s="90">
        <v>45443</v>
      </c>
      <c r="M106" s="30"/>
      <c r="N106" s="30"/>
      <c r="O106" s="30" t="s">
        <v>35</v>
      </c>
      <c r="P106" s="30"/>
      <c r="Q106" s="34">
        <v>2098</v>
      </c>
      <c r="R106" s="33">
        <v>45542</v>
      </c>
      <c r="S106" s="90">
        <v>45537</v>
      </c>
      <c r="T106" s="28" t="s">
        <v>406</v>
      </c>
      <c r="U106" s="28" t="s">
        <v>525</v>
      </c>
      <c r="V106" s="28"/>
      <c r="W106" s="28"/>
      <c r="X106" s="28"/>
      <c r="Y106" s="28"/>
      <c r="Z106" s="28"/>
    </row>
    <row r="107" spans="1:26" ht="15" customHeight="1" thickBot="1" x14ac:dyDescent="0.35">
      <c r="A107" s="170" t="s">
        <v>283</v>
      </c>
      <c r="B107" s="30" t="s">
        <v>77</v>
      </c>
      <c r="C107" s="33">
        <v>45412</v>
      </c>
      <c r="D107" s="92" t="s">
        <v>284</v>
      </c>
      <c r="E107" s="30" t="s">
        <v>181</v>
      </c>
      <c r="F107" s="31">
        <v>45473</v>
      </c>
      <c r="G107" s="32">
        <v>204</v>
      </c>
      <c r="H107" s="81">
        <v>45419</v>
      </c>
      <c r="I107" s="34">
        <v>654</v>
      </c>
      <c r="J107" s="30"/>
      <c r="K107" s="30" t="s">
        <v>35</v>
      </c>
      <c r="L107" s="30"/>
      <c r="M107" s="30"/>
      <c r="N107" s="30"/>
      <c r="O107" s="30" t="s">
        <v>35</v>
      </c>
      <c r="P107" s="30"/>
      <c r="Q107" s="34">
        <v>261.60000000000002</v>
      </c>
      <c r="R107" s="33">
        <v>45433</v>
      </c>
      <c r="S107" s="90">
        <v>45441</v>
      </c>
      <c r="T107" s="28"/>
      <c r="U107" s="28"/>
      <c r="V107" s="28"/>
      <c r="W107" s="28"/>
      <c r="X107" s="28"/>
      <c r="Y107" s="28"/>
      <c r="Z107" s="28"/>
    </row>
    <row r="108" spans="1:26" ht="15" customHeight="1" thickBot="1" x14ac:dyDescent="0.35">
      <c r="A108" s="170" t="s">
        <v>285</v>
      </c>
      <c r="B108" s="30" t="s">
        <v>77</v>
      </c>
      <c r="C108" s="33">
        <v>45408</v>
      </c>
      <c r="D108" s="92" t="s">
        <v>286</v>
      </c>
      <c r="E108" s="30" t="s">
        <v>181</v>
      </c>
      <c r="F108" s="31">
        <v>45439</v>
      </c>
      <c r="G108" s="32">
        <v>205</v>
      </c>
      <c r="H108" s="81">
        <v>45419</v>
      </c>
      <c r="I108" s="34">
        <v>1593</v>
      </c>
      <c r="J108" s="30"/>
      <c r="K108" s="30" t="s">
        <v>35</v>
      </c>
      <c r="L108" s="30"/>
      <c r="M108" s="30"/>
      <c r="N108" s="30"/>
      <c r="O108" s="30" t="s">
        <v>35</v>
      </c>
      <c r="P108" s="30"/>
      <c r="Q108" s="34">
        <v>637.20000000000005</v>
      </c>
      <c r="R108" s="33">
        <v>45433</v>
      </c>
      <c r="S108" s="90">
        <v>45435</v>
      </c>
      <c r="T108" s="28"/>
      <c r="U108" s="28"/>
      <c r="V108" s="28"/>
      <c r="W108" s="28"/>
      <c r="X108" s="28"/>
      <c r="Y108" s="28"/>
      <c r="Z108" s="28"/>
    </row>
    <row r="109" spans="1:26" ht="15" customHeight="1" thickBot="1" x14ac:dyDescent="0.35">
      <c r="A109" s="166" t="s">
        <v>224</v>
      </c>
      <c r="B109" s="30" t="s">
        <v>77</v>
      </c>
      <c r="C109" s="33">
        <v>45406</v>
      </c>
      <c r="D109" s="30" t="s">
        <v>225</v>
      </c>
      <c r="E109" s="30" t="s">
        <v>106</v>
      </c>
      <c r="F109" s="31">
        <v>45513</v>
      </c>
      <c r="G109" s="32">
        <v>206</v>
      </c>
      <c r="H109" s="81">
        <v>45419</v>
      </c>
      <c r="I109" s="34">
        <v>686</v>
      </c>
      <c r="J109" s="30"/>
      <c r="K109" s="30" t="s">
        <v>35</v>
      </c>
      <c r="L109" s="30"/>
      <c r="M109" s="30"/>
      <c r="N109" s="30"/>
      <c r="O109" s="30" t="s">
        <v>35</v>
      </c>
      <c r="P109" s="30"/>
      <c r="Q109" s="34">
        <v>274.39999999999998</v>
      </c>
      <c r="R109" s="33">
        <v>45433</v>
      </c>
      <c r="S109" s="80">
        <v>45433</v>
      </c>
      <c r="T109" s="28" t="s">
        <v>140</v>
      </c>
      <c r="U109" s="28"/>
      <c r="V109" s="28"/>
      <c r="W109" s="28"/>
      <c r="X109" s="28"/>
      <c r="Y109" s="28"/>
      <c r="Z109" s="28"/>
    </row>
    <row r="110" spans="1:26" ht="15" customHeight="1" thickBot="1" x14ac:dyDescent="0.35">
      <c r="A110" s="184" t="s">
        <v>226</v>
      </c>
      <c r="B110" s="109"/>
      <c r="C110" s="109"/>
      <c r="D110" s="109" t="s">
        <v>287</v>
      </c>
      <c r="E110" s="109" t="s">
        <v>120</v>
      </c>
      <c r="F110" s="312" t="s">
        <v>227</v>
      </c>
      <c r="G110" s="110">
        <v>207</v>
      </c>
      <c r="H110" s="111">
        <v>45419</v>
      </c>
      <c r="I110" s="112">
        <v>15100</v>
      </c>
      <c r="J110" s="112">
        <v>3020</v>
      </c>
      <c r="K110" s="113">
        <v>45437</v>
      </c>
      <c r="L110" s="90">
        <v>45425</v>
      </c>
      <c r="M110" s="30" t="s">
        <v>118</v>
      </c>
      <c r="N110" s="112">
        <v>3020</v>
      </c>
      <c r="O110" s="325">
        <v>45703</v>
      </c>
      <c r="P110" s="326">
        <v>45691</v>
      </c>
      <c r="Q110" s="112">
        <v>9060</v>
      </c>
      <c r="R110" s="325">
        <v>45809</v>
      </c>
      <c r="S110" s="326">
        <v>45791</v>
      </c>
      <c r="T110" s="28" t="s">
        <v>363</v>
      </c>
      <c r="U110" s="28"/>
      <c r="V110" s="28"/>
      <c r="W110" s="28"/>
      <c r="X110" s="28"/>
      <c r="Y110" s="28"/>
      <c r="Z110" s="28"/>
    </row>
    <row r="111" spans="1:26" ht="15" customHeight="1" thickBot="1" x14ac:dyDescent="0.35">
      <c r="A111" s="185" t="s">
        <v>289</v>
      </c>
      <c r="B111" s="30"/>
      <c r="C111" s="30"/>
      <c r="D111" s="30" t="s">
        <v>288</v>
      </c>
      <c r="E111" s="30" t="s">
        <v>181</v>
      </c>
      <c r="F111" s="31">
        <v>45492</v>
      </c>
      <c r="G111" s="32">
        <v>208</v>
      </c>
      <c r="H111" s="98">
        <v>45422</v>
      </c>
      <c r="I111" s="99">
        <v>995</v>
      </c>
      <c r="J111" s="30"/>
      <c r="K111" s="30" t="s">
        <v>35</v>
      </c>
      <c r="L111" s="30"/>
      <c r="M111" s="30"/>
      <c r="N111" s="30"/>
      <c r="O111" s="30" t="s">
        <v>35</v>
      </c>
      <c r="P111" s="30"/>
      <c r="Q111" s="99">
        <v>398</v>
      </c>
      <c r="R111" s="89">
        <v>45436</v>
      </c>
      <c r="S111" s="90">
        <v>45443</v>
      </c>
      <c r="T111" s="28"/>
      <c r="U111" s="28"/>
      <c r="V111" s="28"/>
      <c r="W111" s="28"/>
      <c r="X111" s="28"/>
      <c r="Y111" s="28"/>
      <c r="Z111" s="28"/>
    </row>
    <row r="112" spans="1:26" ht="15" customHeight="1" x14ac:dyDescent="0.3">
      <c r="A112" s="202" t="s">
        <v>165</v>
      </c>
      <c r="B112" s="203"/>
      <c r="C112" s="204">
        <v>45423</v>
      </c>
      <c r="D112" s="203" t="s">
        <v>239</v>
      </c>
      <c r="E112" s="203" t="s">
        <v>106</v>
      </c>
      <c r="F112" s="308">
        <v>45663</v>
      </c>
      <c r="G112" s="206">
        <v>209</v>
      </c>
      <c r="H112" s="207">
        <v>45429</v>
      </c>
      <c r="I112" s="208">
        <v>1400</v>
      </c>
      <c r="J112" s="208">
        <v>280</v>
      </c>
      <c r="K112" s="204">
        <v>45443</v>
      </c>
      <c r="L112" s="196">
        <v>45460</v>
      </c>
      <c r="M112" s="203"/>
      <c r="N112" s="208"/>
      <c r="O112" s="204" t="s">
        <v>35</v>
      </c>
      <c r="P112" s="203"/>
      <c r="Q112" s="208">
        <v>1120</v>
      </c>
      <c r="R112" s="204">
        <v>45627</v>
      </c>
      <c r="S112" s="195" t="s">
        <v>689</v>
      </c>
      <c r="T112" s="201">
        <v>45712</v>
      </c>
      <c r="U112" s="193" t="s">
        <v>118</v>
      </c>
    </row>
    <row r="113" spans="1:21" ht="15" customHeight="1" x14ac:dyDescent="0.3">
      <c r="A113" s="194" t="s">
        <v>240</v>
      </c>
      <c r="B113" s="195" t="s">
        <v>77</v>
      </c>
      <c r="C113" s="196">
        <v>45414</v>
      </c>
      <c r="D113" s="195" t="s">
        <v>613</v>
      </c>
      <c r="E113" s="195" t="s">
        <v>106</v>
      </c>
      <c r="F113" s="197">
        <v>45563</v>
      </c>
      <c r="G113" s="198">
        <v>210</v>
      </c>
      <c r="H113" s="199">
        <v>45429</v>
      </c>
      <c r="I113" s="200">
        <v>1997</v>
      </c>
      <c r="J113" s="200">
        <v>399.4</v>
      </c>
      <c r="K113" s="196">
        <v>45443</v>
      </c>
      <c r="L113" s="201">
        <v>45446</v>
      </c>
      <c r="M113" s="195"/>
      <c r="N113" s="200"/>
      <c r="O113" s="196" t="s">
        <v>35</v>
      </c>
      <c r="P113" s="195"/>
      <c r="Q113" s="200">
        <v>1597.6</v>
      </c>
      <c r="R113" s="196">
        <v>45505</v>
      </c>
      <c r="S113" s="201">
        <v>45506</v>
      </c>
      <c r="T113" s="165" t="s">
        <v>363</v>
      </c>
    </row>
    <row r="114" spans="1:21" ht="15" customHeight="1" x14ac:dyDescent="0.3">
      <c r="A114" s="202" t="s">
        <v>241</v>
      </c>
      <c r="B114" s="203"/>
      <c r="C114" s="204">
        <v>45421</v>
      </c>
      <c r="D114" s="203" t="s">
        <v>242</v>
      </c>
      <c r="E114" s="203" t="s">
        <v>106</v>
      </c>
      <c r="F114" s="308">
        <v>45661</v>
      </c>
      <c r="G114" s="206">
        <v>211</v>
      </c>
      <c r="H114" s="207">
        <v>45429</v>
      </c>
      <c r="I114" s="208">
        <v>950</v>
      </c>
      <c r="J114" s="208">
        <v>190</v>
      </c>
      <c r="K114" s="204">
        <v>45443</v>
      </c>
      <c r="L114" s="196" t="s">
        <v>377</v>
      </c>
      <c r="M114" s="201">
        <v>45488</v>
      </c>
      <c r="N114" s="200" t="s">
        <v>304</v>
      </c>
      <c r="O114" s="196" t="s">
        <v>35</v>
      </c>
      <c r="P114" s="195"/>
      <c r="Q114" s="200">
        <v>760</v>
      </c>
      <c r="R114" s="196">
        <v>45627</v>
      </c>
      <c r="S114" s="201">
        <v>45628</v>
      </c>
      <c r="T114" s="165" t="s">
        <v>363</v>
      </c>
    </row>
    <row r="115" spans="1:21" x14ac:dyDescent="0.3">
      <c r="A115" s="194" t="s">
        <v>296</v>
      </c>
      <c r="B115" s="195"/>
      <c r="C115" s="196">
        <v>45422</v>
      </c>
      <c r="D115" s="195" t="s">
        <v>242</v>
      </c>
      <c r="E115" s="195" t="s">
        <v>106</v>
      </c>
      <c r="F115" s="307">
        <v>45661</v>
      </c>
      <c r="G115" s="198">
        <v>212</v>
      </c>
      <c r="H115" s="199">
        <v>45434</v>
      </c>
      <c r="I115" s="200">
        <v>950</v>
      </c>
      <c r="J115" s="200">
        <v>190</v>
      </c>
      <c r="K115" s="196">
        <v>45448</v>
      </c>
      <c r="L115" s="201">
        <v>45454</v>
      </c>
      <c r="M115" s="195" t="s">
        <v>118</v>
      </c>
      <c r="N115" s="200"/>
      <c r="O115" s="196" t="s">
        <v>35</v>
      </c>
      <c r="P115" s="195"/>
      <c r="Q115" s="200">
        <v>760</v>
      </c>
      <c r="R115" s="196">
        <v>45627</v>
      </c>
      <c r="S115" s="201">
        <v>45649</v>
      </c>
      <c r="T115" s="165" t="s">
        <v>363</v>
      </c>
    </row>
    <row r="116" spans="1:21" x14ac:dyDescent="0.3">
      <c r="A116" s="202" t="s">
        <v>297</v>
      </c>
      <c r="B116" s="203" t="s">
        <v>77</v>
      </c>
      <c r="C116" s="204">
        <v>45420</v>
      </c>
      <c r="D116" s="203" t="s">
        <v>298</v>
      </c>
      <c r="E116" s="203" t="s">
        <v>106</v>
      </c>
      <c r="F116" s="308">
        <v>45766</v>
      </c>
      <c r="G116" s="206">
        <v>213</v>
      </c>
      <c r="H116" s="207">
        <v>45434</v>
      </c>
      <c r="I116" s="208">
        <v>3632</v>
      </c>
      <c r="J116" s="208">
        <v>726.4</v>
      </c>
      <c r="K116" s="204">
        <v>45448</v>
      </c>
      <c r="L116" s="196" t="s">
        <v>377</v>
      </c>
      <c r="M116" s="196">
        <v>45471</v>
      </c>
      <c r="N116" s="200" t="s">
        <v>304</v>
      </c>
      <c r="O116" s="196" t="s">
        <v>35</v>
      </c>
      <c r="P116" s="195"/>
      <c r="Q116" s="200">
        <v>2905.6</v>
      </c>
      <c r="R116" s="287">
        <v>45719</v>
      </c>
      <c r="S116" s="201">
        <v>45742</v>
      </c>
      <c r="T116" s="260" t="s">
        <v>363</v>
      </c>
    </row>
    <row r="117" spans="1:21" x14ac:dyDescent="0.3">
      <c r="A117" s="210" t="s">
        <v>299</v>
      </c>
      <c r="B117" s="211"/>
      <c r="C117" s="212">
        <v>45430</v>
      </c>
      <c r="D117" s="213" t="s">
        <v>300</v>
      </c>
      <c r="E117" s="211" t="s">
        <v>109</v>
      </c>
      <c r="F117" s="214">
        <v>45480</v>
      </c>
      <c r="G117" s="215">
        <v>214</v>
      </c>
      <c r="H117" s="216">
        <v>45434</v>
      </c>
      <c r="I117" s="217">
        <v>3820</v>
      </c>
      <c r="J117" s="217"/>
      <c r="K117" s="212" t="s">
        <v>35</v>
      </c>
      <c r="L117" s="218" t="s">
        <v>419</v>
      </c>
      <c r="M117" s="211"/>
      <c r="N117" s="217"/>
      <c r="O117" s="212" t="s">
        <v>35</v>
      </c>
      <c r="P117" s="211"/>
      <c r="Q117" s="217">
        <v>3820</v>
      </c>
      <c r="R117" s="212">
        <v>45446</v>
      </c>
      <c r="S117" s="219" t="s">
        <v>374</v>
      </c>
    </row>
    <row r="118" spans="1:21" x14ac:dyDescent="0.3">
      <c r="A118" s="202" t="s">
        <v>301</v>
      </c>
      <c r="B118" s="203" t="s">
        <v>77</v>
      </c>
      <c r="C118" s="204">
        <v>45428</v>
      </c>
      <c r="D118" s="203" t="s">
        <v>302</v>
      </c>
      <c r="E118" s="203" t="s">
        <v>106</v>
      </c>
      <c r="F118" s="205">
        <v>45477</v>
      </c>
      <c r="G118" s="206">
        <v>215</v>
      </c>
      <c r="H118" s="207">
        <v>45434</v>
      </c>
      <c r="I118" s="208">
        <v>792</v>
      </c>
      <c r="J118" s="208"/>
      <c r="K118" s="204" t="s">
        <v>35</v>
      </c>
      <c r="L118" s="204"/>
      <c r="M118" s="203"/>
      <c r="N118" s="208"/>
      <c r="O118" s="204" t="s">
        <v>35</v>
      </c>
      <c r="P118" s="203"/>
      <c r="Q118" s="208">
        <v>316.8</v>
      </c>
      <c r="R118" s="204">
        <v>45446</v>
      </c>
      <c r="S118" s="195" t="s">
        <v>420</v>
      </c>
      <c r="T118" s="201">
        <v>45490</v>
      </c>
      <c r="U118" s="193" t="s">
        <v>427</v>
      </c>
    </row>
    <row r="119" spans="1:21" x14ac:dyDescent="0.3">
      <c r="A119" s="220" t="s">
        <v>311</v>
      </c>
      <c r="B119" s="195"/>
      <c r="C119" s="195"/>
      <c r="D119" s="195" t="s">
        <v>312</v>
      </c>
      <c r="E119" s="195" t="s">
        <v>120</v>
      </c>
      <c r="F119" s="197">
        <v>45485</v>
      </c>
      <c r="G119" s="198">
        <v>216</v>
      </c>
      <c r="H119" s="199">
        <v>45439</v>
      </c>
      <c r="I119" s="200">
        <v>850</v>
      </c>
      <c r="J119" s="200"/>
      <c r="K119" s="196" t="s">
        <v>35</v>
      </c>
      <c r="L119" s="196"/>
      <c r="M119" s="195"/>
      <c r="N119" s="200"/>
      <c r="O119" s="196" t="s">
        <v>35</v>
      </c>
      <c r="P119" s="195"/>
      <c r="Q119" s="200">
        <v>850</v>
      </c>
      <c r="R119" s="196">
        <v>45450</v>
      </c>
      <c r="S119" s="201">
        <v>45439</v>
      </c>
    </row>
    <row r="120" spans="1:21" x14ac:dyDescent="0.3">
      <c r="A120" s="220" t="s">
        <v>318</v>
      </c>
      <c r="B120" s="195"/>
      <c r="C120" s="195"/>
      <c r="D120" s="195" t="s">
        <v>319</v>
      </c>
      <c r="E120" s="195" t="s">
        <v>120</v>
      </c>
      <c r="F120" s="197">
        <v>45485</v>
      </c>
      <c r="G120" s="198">
        <v>217</v>
      </c>
      <c r="H120" s="199">
        <v>45439</v>
      </c>
      <c r="I120" s="200">
        <v>850</v>
      </c>
      <c r="J120" s="200"/>
      <c r="K120" s="196" t="s">
        <v>35</v>
      </c>
      <c r="L120" s="196"/>
      <c r="M120" s="195"/>
      <c r="N120" s="200"/>
      <c r="O120" s="196" t="s">
        <v>35</v>
      </c>
      <c r="P120" s="195"/>
      <c r="Q120" s="200">
        <v>850</v>
      </c>
      <c r="R120" s="196">
        <v>45450</v>
      </c>
      <c r="S120" s="201">
        <v>45443</v>
      </c>
    </row>
    <row r="121" spans="1:21" x14ac:dyDescent="0.3">
      <c r="A121" s="343" t="s">
        <v>308</v>
      </c>
      <c r="B121" s="344" t="s">
        <v>77</v>
      </c>
      <c r="C121" s="344"/>
      <c r="D121" s="344" t="s">
        <v>309</v>
      </c>
      <c r="E121" s="344" t="s">
        <v>107</v>
      </c>
      <c r="F121" s="345">
        <v>45582</v>
      </c>
      <c r="G121" s="346">
        <v>218</v>
      </c>
      <c r="H121" s="347">
        <v>45439</v>
      </c>
      <c r="I121" s="340">
        <v>632</v>
      </c>
      <c r="J121" s="340"/>
      <c r="K121" s="341" t="s">
        <v>35</v>
      </c>
      <c r="L121" s="341"/>
      <c r="M121" s="344"/>
      <c r="N121" s="340"/>
      <c r="O121" s="341" t="s">
        <v>310</v>
      </c>
      <c r="P121" s="344"/>
      <c r="Q121" s="340">
        <v>252.8</v>
      </c>
      <c r="R121" s="341">
        <v>45448</v>
      </c>
    </row>
    <row r="122" spans="1:21" x14ac:dyDescent="0.3">
      <c r="A122" s="220" t="s">
        <v>326</v>
      </c>
      <c r="B122" s="195"/>
      <c r="C122" s="195"/>
      <c r="D122" s="195" t="s">
        <v>409</v>
      </c>
      <c r="E122" s="195" t="s">
        <v>106</v>
      </c>
      <c r="F122" s="197">
        <v>45550</v>
      </c>
      <c r="G122" s="198" t="s">
        <v>378</v>
      </c>
      <c r="H122" s="199">
        <v>45463</v>
      </c>
      <c r="I122" s="200">
        <v>3899</v>
      </c>
      <c r="J122" s="200">
        <v>779.8</v>
      </c>
      <c r="K122" s="196">
        <v>45488</v>
      </c>
      <c r="L122" s="201">
        <v>45483</v>
      </c>
      <c r="M122" s="195" t="s">
        <v>118</v>
      </c>
      <c r="N122" s="200"/>
      <c r="O122" s="196" t="s">
        <v>35</v>
      </c>
      <c r="P122" s="195"/>
      <c r="Q122" s="200">
        <v>3119.2</v>
      </c>
      <c r="R122" s="196">
        <v>45519</v>
      </c>
      <c r="S122" s="225">
        <v>45504</v>
      </c>
      <c r="T122" s="165" t="s">
        <v>406</v>
      </c>
      <c r="U122" s="193" t="s">
        <v>468</v>
      </c>
    </row>
    <row r="123" spans="1:21" x14ac:dyDescent="0.3">
      <c r="A123" s="226" t="s">
        <v>333</v>
      </c>
      <c r="B123" s="203"/>
      <c r="C123" s="203"/>
      <c r="D123" s="203" t="s">
        <v>327</v>
      </c>
      <c r="E123" s="203" t="s">
        <v>106</v>
      </c>
      <c r="F123" s="205">
        <v>45515</v>
      </c>
      <c r="G123" s="206">
        <v>220</v>
      </c>
      <c r="H123" s="207">
        <v>45443</v>
      </c>
      <c r="I123" s="208">
        <v>2245</v>
      </c>
      <c r="J123" s="208">
        <v>449</v>
      </c>
      <c r="K123" s="204">
        <v>45453</v>
      </c>
      <c r="L123" s="196" t="s">
        <v>377</v>
      </c>
      <c r="M123" s="195"/>
      <c r="N123" s="200"/>
      <c r="O123" s="196" t="s">
        <v>35</v>
      </c>
      <c r="P123" s="195"/>
      <c r="Q123" s="200">
        <v>1796</v>
      </c>
      <c r="R123" s="196">
        <v>45474</v>
      </c>
      <c r="S123" s="201">
        <v>45475</v>
      </c>
      <c r="T123" s="165" t="s">
        <v>394</v>
      </c>
      <c r="U123" s="227" t="s">
        <v>336</v>
      </c>
    </row>
    <row r="124" spans="1:21" x14ac:dyDescent="0.3">
      <c r="A124" s="220" t="s">
        <v>328</v>
      </c>
      <c r="B124" s="195"/>
      <c r="C124" s="195"/>
      <c r="D124" s="195" t="s">
        <v>329</v>
      </c>
      <c r="E124" s="195" t="s">
        <v>107</v>
      </c>
      <c r="F124" s="197">
        <v>45541</v>
      </c>
      <c r="G124" s="198" t="s">
        <v>353</v>
      </c>
      <c r="H124" s="199">
        <v>45460</v>
      </c>
      <c r="I124" s="200">
        <v>287.60000000000002</v>
      </c>
      <c r="J124" s="200"/>
      <c r="K124" s="196" t="s">
        <v>35</v>
      </c>
      <c r="L124" s="196"/>
      <c r="M124" s="195"/>
      <c r="N124" s="200"/>
      <c r="O124" s="196" t="s">
        <v>35</v>
      </c>
      <c r="P124" s="195"/>
      <c r="Q124" s="200">
        <v>287.60000000000002</v>
      </c>
      <c r="R124" s="196">
        <v>45458</v>
      </c>
      <c r="S124" s="201">
        <v>45481</v>
      </c>
      <c r="T124" s="165" t="s">
        <v>406</v>
      </c>
    </row>
    <row r="125" spans="1:21" x14ac:dyDescent="0.3">
      <c r="A125" s="220" t="s">
        <v>330</v>
      </c>
      <c r="B125" s="195"/>
      <c r="C125" s="195"/>
      <c r="D125" s="195" t="s">
        <v>331</v>
      </c>
      <c r="E125" s="195" t="s">
        <v>106</v>
      </c>
      <c r="F125" s="197">
        <v>45536</v>
      </c>
      <c r="G125" s="198">
        <v>222</v>
      </c>
      <c r="H125" s="199">
        <v>45447</v>
      </c>
      <c r="I125" s="200">
        <v>2510</v>
      </c>
      <c r="J125" s="200">
        <v>502</v>
      </c>
      <c r="K125" s="196">
        <v>45458</v>
      </c>
      <c r="L125" s="201">
        <v>45461</v>
      </c>
      <c r="M125" s="195" t="s">
        <v>118</v>
      </c>
      <c r="N125" s="200"/>
      <c r="O125" s="196" t="s">
        <v>35</v>
      </c>
      <c r="P125" s="195"/>
      <c r="Q125" s="200">
        <v>2008</v>
      </c>
      <c r="R125" s="196">
        <v>45505</v>
      </c>
      <c r="S125" s="201">
        <v>45510</v>
      </c>
      <c r="T125" s="165" t="s">
        <v>394</v>
      </c>
    </row>
    <row r="126" spans="1:21" x14ac:dyDescent="0.3">
      <c r="A126" s="220" t="s">
        <v>218</v>
      </c>
      <c r="B126" s="195"/>
      <c r="C126" s="195"/>
      <c r="D126" s="195" t="s">
        <v>332</v>
      </c>
      <c r="E126" s="195" t="s">
        <v>106</v>
      </c>
      <c r="F126" s="197">
        <v>45556</v>
      </c>
      <c r="G126" s="198">
        <v>223</v>
      </c>
      <c r="H126" s="199">
        <v>45447</v>
      </c>
      <c r="I126" s="200">
        <v>2280</v>
      </c>
      <c r="J126" s="200">
        <v>456</v>
      </c>
      <c r="K126" s="196">
        <v>45458</v>
      </c>
      <c r="L126" s="196"/>
      <c r="M126" s="195"/>
      <c r="N126" s="200"/>
      <c r="O126" s="196" t="s">
        <v>35</v>
      </c>
      <c r="P126" s="195"/>
      <c r="Q126" s="200">
        <v>1824</v>
      </c>
      <c r="R126" s="196">
        <v>45514</v>
      </c>
      <c r="S126" s="201">
        <v>45537</v>
      </c>
      <c r="T126" s="260" t="s">
        <v>394</v>
      </c>
    </row>
    <row r="127" spans="1:21" ht="15.6" x14ac:dyDescent="0.3">
      <c r="A127" s="228" t="s">
        <v>334</v>
      </c>
      <c r="B127" s="195"/>
      <c r="C127" s="195"/>
      <c r="D127" s="229" t="s">
        <v>335</v>
      </c>
      <c r="E127" s="195" t="s">
        <v>107</v>
      </c>
      <c r="F127" s="197">
        <v>45531</v>
      </c>
      <c r="G127" s="198">
        <v>224</v>
      </c>
      <c r="H127" s="199">
        <v>45455</v>
      </c>
      <c r="I127" s="200">
        <v>1070</v>
      </c>
      <c r="J127" s="200"/>
      <c r="K127" s="196" t="s">
        <v>35</v>
      </c>
      <c r="L127" s="196"/>
      <c r="M127" s="195"/>
      <c r="N127" s="200"/>
      <c r="O127" s="196" t="s">
        <v>35</v>
      </c>
      <c r="P127" s="195"/>
      <c r="Q127" s="200">
        <v>428</v>
      </c>
      <c r="R127" s="196">
        <v>45469</v>
      </c>
      <c r="S127" s="201">
        <v>45478</v>
      </c>
      <c r="T127" s="165" t="s">
        <v>394</v>
      </c>
    </row>
    <row r="128" spans="1:21" x14ac:dyDescent="0.3">
      <c r="A128" s="230" t="s">
        <v>361</v>
      </c>
      <c r="B128" s="195"/>
      <c r="C128" s="195"/>
      <c r="D128" s="195" t="s">
        <v>75</v>
      </c>
      <c r="E128" s="195" t="s">
        <v>107</v>
      </c>
      <c r="F128" s="197">
        <v>45465</v>
      </c>
      <c r="G128" s="198">
        <v>225</v>
      </c>
      <c r="H128" s="199">
        <v>45455</v>
      </c>
      <c r="I128" s="200">
        <v>690</v>
      </c>
      <c r="J128" s="200"/>
      <c r="K128" s="196" t="s">
        <v>35</v>
      </c>
      <c r="L128" s="196"/>
      <c r="M128" s="195"/>
      <c r="N128" s="200"/>
      <c r="O128" s="196" t="s">
        <v>35</v>
      </c>
      <c r="P128" s="195"/>
      <c r="Q128" s="200">
        <v>276</v>
      </c>
      <c r="R128" s="196">
        <v>45460</v>
      </c>
      <c r="S128" s="219" t="s">
        <v>363</v>
      </c>
    </row>
    <row r="129" spans="1:20" x14ac:dyDescent="0.3">
      <c r="A129" s="231" t="s">
        <v>342</v>
      </c>
      <c r="B129" s="195"/>
      <c r="C129" s="196">
        <v>45440</v>
      </c>
      <c r="D129" s="195" t="s">
        <v>343</v>
      </c>
      <c r="E129" s="195" t="s">
        <v>106</v>
      </c>
      <c r="F129" s="197">
        <v>45507</v>
      </c>
      <c r="G129" s="198">
        <v>226</v>
      </c>
      <c r="H129" s="199">
        <v>45456</v>
      </c>
      <c r="I129" s="200">
        <v>1200</v>
      </c>
      <c r="J129" s="200"/>
      <c r="K129" s="196" t="s">
        <v>35</v>
      </c>
      <c r="L129" s="196"/>
      <c r="M129" s="195"/>
      <c r="N129" s="200"/>
      <c r="O129" s="196" t="s">
        <v>35</v>
      </c>
      <c r="P129" s="195"/>
      <c r="Q129" s="200">
        <v>1200</v>
      </c>
      <c r="R129" s="196">
        <v>45470</v>
      </c>
      <c r="S129" s="201">
        <v>45467</v>
      </c>
      <c r="T129" s="165" t="s">
        <v>140</v>
      </c>
    </row>
    <row r="130" spans="1:20" x14ac:dyDescent="0.3">
      <c r="A130" s="226" t="s">
        <v>344</v>
      </c>
      <c r="B130" s="203"/>
      <c r="C130" s="203"/>
      <c r="D130" s="203" t="s">
        <v>345</v>
      </c>
      <c r="E130" s="203" t="s">
        <v>106</v>
      </c>
      <c r="F130" s="205">
        <v>45656</v>
      </c>
      <c r="G130" s="206">
        <v>227</v>
      </c>
      <c r="H130" s="207">
        <v>45456</v>
      </c>
      <c r="I130" s="208">
        <v>1630</v>
      </c>
      <c r="J130" s="208">
        <v>326</v>
      </c>
      <c r="K130" s="204">
        <v>45470</v>
      </c>
      <c r="L130" s="196" t="s">
        <v>418</v>
      </c>
      <c r="M130" s="201">
        <v>45488</v>
      </c>
      <c r="N130" s="200" t="s">
        <v>304</v>
      </c>
      <c r="O130" s="196" t="s">
        <v>35</v>
      </c>
      <c r="P130" s="195"/>
      <c r="Q130" s="200">
        <v>1304</v>
      </c>
      <c r="R130" s="196">
        <v>45611</v>
      </c>
      <c r="S130" s="201">
        <v>45607</v>
      </c>
      <c r="T130" s="260" t="s">
        <v>140</v>
      </c>
    </row>
    <row r="131" spans="1:20" x14ac:dyDescent="0.3">
      <c r="A131" s="230" t="s">
        <v>346</v>
      </c>
      <c r="B131" s="195" t="s">
        <v>77</v>
      </c>
      <c r="C131" s="196">
        <v>45447</v>
      </c>
      <c r="D131" s="232" t="s">
        <v>347</v>
      </c>
      <c r="E131" s="195" t="s">
        <v>181</v>
      </c>
      <c r="F131" s="197">
        <v>45534</v>
      </c>
      <c r="G131" s="198">
        <v>228</v>
      </c>
      <c r="H131" s="199">
        <v>45456</v>
      </c>
      <c r="I131" s="200">
        <v>792</v>
      </c>
      <c r="J131" s="200"/>
      <c r="K131" s="196" t="s">
        <v>35</v>
      </c>
      <c r="L131" s="196"/>
      <c r="M131" s="195"/>
      <c r="N131" s="200"/>
      <c r="O131" s="196" t="s">
        <v>35</v>
      </c>
      <c r="P131" s="195"/>
      <c r="Q131" s="200">
        <v>316.8</v>
      </c>
      <c r="R131" s="196">
        <v>45470</v>
      </c>
      <c r="S131" s="219" t="s">
        <v>363</v>
      </c>
    </row>
    <row r="132" spans="1:20" x14ac:dyDescent="0.3">
      <c r="A132" s="233" t="s">
        <v>121</v>
      </c>
      <c r="B132" s="195"/>
      <c r="C132" s="196"/>
      <c r="D132" s="195" t="s">
        <v>356</v>
      </c>
      <c r="E132" s="195" t="s">
        <v>120</v>
      </c>
      <c r="F132" s="197">
        <v>45480</v>
      </c>
      <c r="G132" s="198">
        <v>229</v>
      </c>
      <c r="H132" s="199">
        <v>45458</v>
      </c>
      <c r="I132" s="200">
        <v>630</v>
      </c>
      <c r="J132" s="200"/>
      <c r="K132" s="196" t="s">
        <v>35</v>
      </c>
      <c r="L132" s="196"/>
      <c r="M132" s="195"/>
      <c r="N132" s="200"/>
      <c r="O132" s="196" t="s">
        <v>35</v>
      </c>
      <c r="P132" s="195"/>
      <c r="Q132" s="200">
        <v>630</v>
      </c>
      <c r="R132" s="195" t="s">
        <v>357</v>
      </c>
      <c r="S132" s="201">
        <v>45460</v>
      </c>
    </row>
    <row r="133" spans="1:20" x14ac:dyDescent="0.3">
      <c r="A133" s="233" t="s">
        <v>349</v>
      </c>
      <c r="B133" s="195"/>
      <c r="C133" s="196">
        <v>45450</v>
      </c>
      <c r="D133" s="195" t="s">
        <v>350</v>
      </c>
      <c r="E133" s="195" t="s">
        <v>106</v>
      </c>
      <c r="F133" s="197">
        <v>45652</v>
      </c>
      <c r="G133" s="198">
        <v>230</v>
      </c>
      <c r="H133" s="199">
        <v>45460</v>
      </c>
      <c r="I133" s="200">
        <v>680</v>
      </c>
      <c r="J133" s="200">
        <v>136</v>
      </c>
      <c r="K133" s="196">
        <v>45474</v>
      </c>
      <c r="L133" s="196"/>
      <c r="M133" s="195"/>
      <c r="N133" s="200"/>
      <c r="O133" s="196" t="s">
        <v>35</v>
      </c>
      <c r="P133" s="195"/>
      <c r="Q133" s="200">
        <v>544</v>
      </c>
      <c r="R133" s="196">
        <v>45611</v>
      </c>
      <c r="S133" s="201">
        <v>45649</v>
      </c>
      <c r="T133" s="165" t="s">
        <v>363</v>
      </c>
    </row>
    <row r="134" spans="1:20" x14ac:dyDescent="0.3">
      <c r="A134" s="220" t="s">
        <v>351</v>
      </c>
      <c r="B134" s="195"/>
      <c r="C134" s="196">
        <v>45455</v>
      </c>
      <c r="D134" s="195" t="s">
        <v>352</v>
      </c>
      <c r="E134" s="195" t="s">
        <v>109</v>
      </c>
      <c r="F134" s="197">
        <v>45543</v>
      </c>
      <c r="G134" s="198">
        <v>231</v>
      </c>
      <c r="H134" s="199">
        <v>45460</v>
      </c>
      <c r="I134" s="200">
        <v>1820</v>
      </c>
      <c r="J134" s="200">
        <v>364</v>
      </c>
      <c r="K134" s="196">
        <v>45474</v>
      </c>
      <c r="L134" s="201">
        <v>45408</v>
      </c>
      <c r="M134" s="195" t="s">
        <v>118</v>
      </c>
      <c r="N134" s="200"/>
      <c r="O134" s="196" t="s">
        <v>35</v>
      </c>
      <c r="P134" s="195"/>
      <c r="Q134" s="200">
        <v>1456</v>
      </c>
      <c r="R134" s="196">
        <v>45505</v>
      </c>
      <c r="S134" s="201">
        <v>45505</v>
      </c>
      <c r="T134" s="165" t="s">
        <v>394</v>
      </c>
    </row>
    <row r="135" spans="1:20" x14ac:dyDescent="0.3">
      <c r="A135" s="226" t="s">
        <v>354</v>
      </c>
      <c r="B135" s="203" t="s">
        <v>77</v>
      </c>
      <c r="C135" s="204">
        <v>45457</v>
      </c>
      <c r="D135" s="203" t="s">
        <v>355</v>
      </c>
      <c r="E135" s="203" t="s">
        <v>106</v>
      </c>
      <c r="F135" s="205">
        <v>45536</v>
      </c>
      <c r="G135" s="206">
        <v>232</v>
      </c>
      <c r="H135" s="207">
        <v>45460</v>
      </c>
      <c r="I135" s="208">
        <v>1198</v>
      </c>
      <c r="J135" s="208">
        <v>239.6</v>
      </c>
      <c r="K135" s="204">
        <v>45474</v>
      </c>
      <c r="L135" s="196" t="s">
        <v>418</v>
      </c>
      <c r="M135" s="201">
        <v>45495</v>
      </c>
      <c r="N135" s="200" t="s">
        <v>304</v>
      </c>
      <c r="O135" s="196" t="s">
        <v>35</v>
      </c>
      <c r="P135" s="195"/>
      <c r="Q135" s="200">
        <v>958.4</v>
      </c>
      <c r="R135" s="196">
        <v>45502</v>
      </c>
      <c r="S135" s="201">
        <v>45516</v>
      </c>
      <c r="T135" s="165" t="s">
        <v>363</v>
      </c>
    </row>
    <row r="136" spans="1:20" x14ac:dyDescent="0.3">
      <c r="A136" s="220" t="s">
        <v>366</v>
      </c>
      <c r="B136" s="195" t="s">
        <v>77</v>
      </c>
      <c r="C136" s="196"/>
      <c r="D136" s="195" t="s">
        <v>367</v>
      </c>
      <c r="E136" s="195" t="s">
        <v>109</v>
      </c>
      <c r="F136" s="197">
        <v>45553</v>
      </c>
      <c r="G136" s="198">
        <v>233</v>
      </c>
      <c r="H136" s="199">
        <v>45460</v>
      </c>
      <c r="I136" s="200">
        <v>921</v>
      </c>
      <c r="J136" s="200">
        <v>184.2</v>
      </c>
      <c r="K136" s="196">
        <v>45474</v>
      </c>
      <c r="L136" s="196">
        <v>45468</v>
      </c>
      <c r="M136" s="195" t="s">
        <v>118</v>
      </c>
      <c r="N136" s="200"/>
      <c r="O136" s="196" t="s">
        <v>35</v>
      </c>
      <c r="P136" s="195"/>
      <c r="Q136" s="200">
        <v>736.8</v>
      </c>
      <c r="R136" s="196">
        <v>45505</v>
      </c>
      <c r="S136" s="201">
        <v>45497</v>
      </c>
      <c r="T136" s="165" t="s">
        <v>363</v>
      </c>
    </row>
    <row r="137" spans="1:20" x14ac:dyDescent="0.3">
      <c r="A137" s="233" t="s">
        <v>358</v>
      </c>
      <c r="B137" s="195" t="s">
        <v>77</v>
      </c>
      <c r="C137" s="196">
        <v>45458</v>
      </c>
      <c r="D137" s="235" t="s">
        <v>359</v>
      </c>
      <c r="E137" s="195" t="s">
        <v>120</v>
      </c>
      <c r="F137" s="197">
        <v>45467</v>
      </c>
      <c r="G137" s="198">
        <v>234</v>
      </c>
      <c r="H137" s="199">
        <v>45460</v>
      </c>
      <c r="I137" s="200">
        <v>841</v>
      </c>
      <c r="J137" s="200"/>
      <c r="K137" s="196" t="s">
        <v>35</v>
      </c>
      <c r="L137" s="196"/>
      <c r="M137" s="195"/>
      <c r="N137" s="200"/>
      <c r="O137" s="196" t="s">
        <v>35</v>
      </c>
      <c r="P137" s="195"/>
      <c r="Q137" s="200">
        <v>254.8</v>
      </c>
      <c r="R137" s="195" t="s">
        <v>357</v>
      </c>
      <c r="S137" s="201">
        <v>45467</v>
      </c>
      <c r="T137" s="165" t="s">
        <v>405</v>
      </c>
    </row>
    <row r="138" spans="1:20" x14ac:dyDescent="0.3">
      <c r="A138" s="230" t="s">
        <v>364</v>
      </c>
      <c r="B138" s="195"/>
      <c r="C138" s="195"/>
      <c r="D138" s="195" t="s">
        <v>365</v>
      </c>
      <c r="E138" s="195" t="s">
        <v>106</v>
      </c>
      <c r="F138" s="197">
        <v>45646</v>
      </c>
      <c r="G138" s="198" t="s">
        <v>562</v>
      </c>
      <c r="H138" s="199">
        <v>45463</v>
      </c>
      <c r="I138" s="200">
        <v>1360</v>
      </c>
      <c r="J138" s="200">
        <v>416</v>
      </c>
      <c r="K138" s="196">
        <v>45477</v>
      </c>
      <c r="L138" s="201">
        <v>45474</v>
      </c>
      <c r="M138" s="195" t="s">
        <v>118</v>
      </c>
      <c r="N138" s="200" t="s">
        <v>646</v>
      </c>
      <c r="O138" s="196" t="s">
        <v>35</v>
      </c>
      <c r="P138" s="195"/>
      <c r="Q138" s="200">
        <v>944</v>
      </c>
      <c r="R138" s="196">
        <v>45597</v>
      </c>
      <c r="S138" s="201">
        <v>45588</v>
      </c>
      <c r="T138" s="260" t="s">
        <v>118</v>
      </c>
    </row>
    <row r="139" spans="1:20" x14ac:dyDescent="0.3">
      <c r="A139" s="230" t="s">
        <v>368</v>
      </c>
      <c r="B139" s="195" t="s">
        <v>389</v>
      </c>
      <c r="C139" s="195"/>
      <c r="D139" s="195" t="s">
        <v>386</v>
      </c>
      <c r="E139" s="195" t="s">
        <v>106</v>
      </c>
      <c r="F139" s="197">
        <v>45500</v>
      </c>
      <c r="G139" s="198">
        <v>236</v>
      </c>
      <c r="H139" s="199">
        <v>45474</v>
      </c>
      <c r="I139" s="200">
        <v>1590</v>
      </c>
      <c r="J139" s="200"/>
      <c r="K139" s="196"/>
      <c r="L139" s="196"/>
      <c r="M139" s="195"/>
      <c r="N139" s="200"/>
      <c r="O139" s="196"/>
      <c r="P139" s="195"/>
      <c r="Q139" s="200">
        <v>1590</v>
      </c>
      <c r="R139" s="195"/>
      <c r="S139" s="236" t="s">
        <v>390</v>
      </c>
      <c r="T139" s="237"/>
    </row>
    <row r="140" spans="1:20" x14ac:dyDescent="0.3">
      <c r="A140" s="230" t="s">
        <v>364</v>
      </c>
      <c r="B140" s="195"/>
      <c r="C140" s="195"/>
      <c r="D140" s="195" t="s">
        <v>381</v>
      </c>
      <c r="E140" s="195" t="s">
        <v>106</v>
      </c>
      <c r="F140" s="197">
        <v>45628</v>
      </c>
      <c r="G140" s="198">
        <v>237</v>
      </c>
      <c r="H140" s="199">
        <v>45463</v>
      </c>
      <c r="I140" s="200">
        <v>380</v>
      </c>
      <c r="J140" s="200"/>
      <c r="K140" s="196" t="s">
        <v>35</v>
      </c>
      <c r="L140" s="196"/>
      <c r="M140" s="195"/>
      <c r="N140" s="200"/>
      <c r="O140" s="196" t="s">
        <v>35</v>
      </c>
      <c r="P140" s="195"/>
      <c r="Q140" s="200">
        <v>380</v>
      </c>
      <c r="R140" s="196">
        <v>45597</v>
      </c>
      <c r="S140" s="201">
        <v>45588</v>
      </c>
      <c r="T140" s="260" t="s">
        <v>363</v>
      </c>
    </row>
    <row r="141" spans="1:20" x14ac:dyDescent="0.3">
      <c r="A141" s="233" t="s">
        <v>369</v>
      </c>
      <c r="B141" s="195" t="s">
        <v>77</v>
      </c>
      <c r="C141" s="196">
        <v>45460</v>
      </c>
      <c r="D141" s="235" t="s">
        <v>370</v>
      </c>
      <c r="E141" s="195" t="s">
        <v>120</v>
      </c>
      <c r="F141" s="197" t="s">
        <v>371</v>
      </c>
      <c r="G141" s="198">
        <v>238</v>
      </c>
      <c r="H141" s="199">
        <v>45463</v>
      </c>
      <c r="I141" s="200">
        <v>630</v>
      </c>
      <c r="J141" s="200"/>
      <c r="K141" s="196" t="s">
        <v>372</v>
      </c>
      <c r="L141" s="196"/>
      <c r="M141" s="195"/>
      <c r="N141" s="200"/>
      <c r="O141" s="196" t="s">
        <v>35</v>
      </c>
      <c r="P141" s="195"/>
      <c r="Q141" s="200">
        <v>252</v>
      </c>
      <c r="R141" s="196">
        <v>45477</v>
      </c>
      <c r="S141" s="201">
        <v>45469</v>
      </c>
      <c r="T141" s="165" t="s">
        <v>363</v>
      </c>
    </row>
    <row r="142" spans="1:20" x14ac:dyDescent="0.3">
      <c r="A142" s="230" t="s">
        <v>375</v>
      </c>
      <c r="B142" s="195" t="s">
        <v>77</v>
      </c>
      <c r="C142" s="196">
        <v>45461</v>
      </c>
      <c r="D142" s="195" t="s">
        <v>376</v>
      </c>
      <c r="E142" s="195" t="s">
        <v>106</v>
      </c>
      <c r="F142" s="197">
        <v>45544</v>
      </c>
      <c r="G142" s="198">
        <v>239</v>
      </c>
      <c r="H142" s="199">
        <v>45466</v>
      </c>
      <c r="I142" s="200">
        <v>799</v>
      </c>
      <c r="J142" s="200">
        <v>159.80000000000001</v>
      </c>
      <c r="K142" s="196">
        <v>45473</v>
      </c>
      <c r="L142" s="196"/>
      <c r="M142" s="195"/>
      <c r="N142" s="200"/>
      <c r="O142" s="196" t="s">
        <v>35</v>
      </c>
      <c r="P142" s="195"/>
      <c r="Q142" s="200">
        <v>639.20000000000005</v>
      </c>
      <c r="R142" s="196">
        <v>45505</v>
      </c>
      <c r="S142" s="201">
        <v>45474</v>
      </c>
      <c r="T142" s="165" t="s">
        <v>363</v>
      </c>
    </row>
    <row r="143" spans="1:20" x14ac:dyDescent="0.3">
      <c r="A143" s="230" t="s">
        <v>379</v>
      </c>
      <c r="B143" s="195" t="s">
        <v>77</v>
      </c>
      <c r="C143" s="196">
        <v>45461</v>
      </c>
      <c r="D143" s="195" t="s">
        <v>380</v>
      </c>
      <c r="E143" s="195" t="s">
        <v>107</v>
      </c>
      <c r="F143" s="197">
        <v>45513</v>
      </c>
      <c r="G143" s="198">
        <v>240</v>
      </c>
      <c r="H143" s="199">
        <v>45468</v>
      </c>
      <c r="I143" s="200">
        <v>801</v>
      </c>
      <c r="J143" s="200"/>
      <c r="K143" s="196" t="s">
        <v>35</v>
      </c>
      <c r="L143" s="196"/>
      <c r="M143" s="195"/>
      <c r="N143" s="200"/>
      <c r="O143" s="196" t="s">
        <v>35</v>
      </c>
      <c r="P143" s="195"/>
      <c r="Q143" s="200">
        <v>320.39999999999998</v>
      </c>
      <c r="R143" s="196">
        <v>45476</v>
      </c>
      <c r="S143" s="201">
        <v>45475</v>
      </c>
      <c r="T143" s="165" t="s">
        <v>363</v>
      </c>
    </row>
    <row r="144" spans="1:20" x14ac:dyDescent="0.3">
      <c r="A144" s="220" t="s">
        <v>382</v>
      </c>
      <c r="B144" s="195"/>
      <c r="C144" s="195"/>
      <c r="D144" s="229" t="s">
        <v>192</v>
      </c>
      <c r="E144" s="195" t="s">
        <v>107</v>
      </c>
      <c r="F144" s="197">
        <v>45569</v>
      </c>
      <c r="G144" s="198">
        <v>241</v>
      </c>
      <c r="H144" s="199">
        <v>45468</v>
      </c>
      <c r="I144" s="200">
        <v>730</v>
      </c>
      <c r="J144" s="200"/>
      <c r="K144" s="196" t="s">
        <v>35</v>
      </c>
      <c r="L144" s="196"/>
      <c r="M144" s="195"/>
      <c r="N144" s="200"/>
      <c r="O144" s="196" t="s">
        <v>35</v>
      </c>
      <c r="P144" s="195"/>
      <c r="Q144" s="200">
        <v>292</v>
      </c>
      <c r="R144" s="196">
        <v>45483</v>
      </c>
      <c r="S144" s="201">
        <v>45470</v>
      </c>
      <c r="T144" s="165" t="s">
        <v>363</v>
      </c>
    </row>
    <row r="145" spans="1:21" x14ac:dyDescent="0.3">
      <c r="A145" s="230" t="s">
        <v>387</v>
      </c>
      <c r="B145" s="195"/>
      <c r="C145" s="195"/>
      <c r="D145" s="195" t="s">
        <v>388</v>
      </c>
      <c r="E145" s="195" t="s">
        <v>106</v>
      </c>
      <c r="F145" s="197">
        <v>45635</v>
      </c>
      <c r="G145" s="198">
        <v>242</v>
      </c>
      <c r="H145" s="199">
        <v>45474</v>
      </c>
      <c r="I145" s="200">
        <v>190</v>
      </c>
      <c r="J145" s="200"/>
      <c r="K145" s="196" t="s">
        <v>35</v>
      </c>
      <c r="L145" s="196"/>
      <c r="M145" s="195"/>
      <c r="N145" s="200"/>
      <c r="O145" s="196" t="s">
        <v>35</v>
      </c>
      <c r="P145" s="195"/>
      <c r="Q145" s="200">
        <v>190</v>
      </c>
      <c r="R145" s="196">
        <v>45493</v>
      </c>
      <c r="S145" s="201">
        <v>45475</v>
      </c>
      <c r="T145" s="165" t="s">
        <v>363</v>
      </c>
    </row>
    <row r="146" spans="1:21" x14ac:dyDescent="0.3">
      <c r="A146" s="239" t="s">
        <v>391</v>
      </c>
      <c r="B146" s="240"/>
      <c r="C146" s="240"/>
      <c r="D146" s="240" t="s">
        <v>392</v>
      </c>
      <c r="E146" s="240" t="s">
        <v>120</v>
      </c>
      <c r="F146" s="241">
        <v>45474</v>
      </c>
      <c r="G146" s="242">
        <v>243</v>
      </c>
      <c r="H146" s="243">
        <v>45476</v>
      </c>
      <c r="I146" s="244">
        <v>405</v>
      </c>
      <c r="J146" s="244"/>
      <c r="K146" s="245" t="s">
        <v>35</v>
      </c>
      <c r="L146" s="245"/>
      <c r="M146" s="240"/>
      <c r="N146" s="244"/>
      <c r="O146" s="245" t="s">
        <v>35</v>
      </c>
      <c r="P146" s="240"/>
      <c r="Q146" s="244">
        <v>405</v>
      </c>
      <c r="R146" s="240" t="s">
        <v>357</v>
      </c>
      <c r="S146" s="246" t="s">
        <v>433</v>
      </c>
      <c r="T146" s="195" t="s">
        <v>434</v>
      </c>
    </row>
    <row r="147" spans="1:21" x14ac:dyDescent="0.3">
      <c r="A147" s="194" t="s">
        <v>395</v>
      </c>
      <c r="B147" s="195" t="s">
        <v>77</v>
      </c>
      <c r="C147" s="196">
        <v>45481</v>
      </c>
      <c r="D147" s="247" t="s">
        <v>396</v>
      </c>
      <c r="E147" s="195" t="s">
        <v>120</v>
      </c>
      <c r="F147" s="197">
        <v>45483</v>
      </c>
      <c r="G147" s="198">
        <v>244</v>
      </c>
      <c r="H147" s="199">
        <v>45481</v>
      </c>
      <c r="I147" s="200">
        <v>629</v>
      </c>
      <c r="J147" s="200"/>
      <c r="K147" s="196" t="s">
        <v>372</v>
      </c>
      <c r="L147" s="196"/>
      <c r="M147" s="195"/>
      <c r="N147" s="200"/>
      <c r="O147" s="196" t="s">
        <v>35</v>
      </c>
      <c r="P147" s="195"/>
      <c r="Q147" s="200">
        <v>251.6</v>
      </c>
      <c r="R147" s="195" t="s">
        <v>357</v>
      </c>
      <c r="S147" s="201">
        <v>45483</v>
      </c>
    </row>
    <row r="148" spans="1:21" x14ac:dyDescent="0.3">
      <c r="A148" s="194" t="s">
        <v>397</v>
      </c>
      <c r="B148" s="195" t="s">
        <v>77</v>
      </c>
      <c r="C148" s="196">
        <v>45481</v>
      </c>
      <c r="D148" s="195" t="s">
        <v>398</v>
      </c>
      <c r="E148" s="195" t="s">
        <v>107</v>
      </c>
      <c r="F148" s="197">
        <v>52846</v>
      </c>
      <c r="G148" s="198">
        <v>245</v>
      </c>
      <c r="H148" s="199">
        <v>45482</v>
      </c>
      <c r="I148" s="200">
        <v>1156</v>
      </c>
      <c r="J148" s="200"/>
      <c r="K148" s="196" t="s">
        <v>35</v>
      </c>
      <c r="L148" s="196" t="s">
        <v>399</v>
      </c>
      <c r="M148" s="195"/>
      <c r="N148" s="200"/>
      <c r="O148" s="196" t="s">
        <v>35</v>
      </c>
      <c r="P148" s="195"/>
      <c r="Q148" s="200">
        <v>812.4</v>
      </c>
      <c r="R148" s="196">
        <v>45496</v>
      </c>
      <c r="S148" s="192">
        <v>45488</v>
      </c>
      <c r="T148" s="165" t="s">
        <v>363</v>
      </c>
    </row>
    <row r="149" spans="1:21" x14ac:dyDescent="0.3">
      <c r="A149" s="202" t="s">
        <v>400</v>
      </c>
      <c r="B149" s="203" t="s">
        <v>77</v>
      </c>
      <c r="C149" s="204">
        <v>45477</v>
      </c>
      <c r="D149" s="248" t="s">
        <v>359</v>
      </c>
      <c r="E149" s="203" t="s">
        <v>107</v>
      </c>
      <c r="F149" s="205">
        <v>45536</v>
      </c>
      <c r="G149" s="206">
        <v>246</v>
      </c>
      <c r="H149" s="207">
        <v>45482</v>
      </c>
      <c r="I149" s="208">
        <v>661</v>
      </c>
      <c r="J149" s="208"/>
      <c r="K149" s="204" t="s">
        <v>35</v>
      </c>
      <c r="L149" s="204"/>
      <c r="M149" s="203"/>
      <c r="N149" s="208"/>
      <c r="O149" s="204" t="s">
        <v>35</v>
      </c>
      <c r="P149" s="203"/>
      <c r="Q149" s="208">
        <v>264.39999999999998</v>
      </c>
      <c r="R149" s="204">
        <v>45496</v>
      </c>
      <c r="S149" s="203" t="s">
        <v>485</v>
      </c>
      <c r="T149" s="195"/>
      <c r="U149" s="249"/>
    </row>
    <row r="150" spans="1:21" x14ac:dyDescent="0.3">
      <c r="A150" s="202" t="s">
        <v>401</v>
      </c>
      <c r="B150" s="203" t="s">
        <v>77</v>
      </c>
      <c r="C150" s="204">
        <v>45467</v>
      </c>
      <c r="D150" s="250" t="s">
        <v>402</v>
      </c>
      <c r="E150" s="203" t="s">
        <v>106</v>
      </c>
      <c r="F150" s="205">
        <v>45572</v>
      </c>
      <c r="G150" s="206">
        <v>247</v>
      </c>
      <c r="H150" s="207">
        <v>45482</v>
      </c>
      <c r="I150" s="208">
        <v>1535</v>
      </c>
      <c r="J150" s="208">
        <v>307</v>
      </c>
      <c r="K150" s="204">
        <v>45496</v>
      </c>
      <c r="L150" s="196" t="s">
        <v>485</v>
      </c>
      <c r="M150" s="195"/>
      <c r="N150" s="200"/>
      <c r="O150" s="196" t="s">
        <v>35</v>
      </c>
      <c r="P150" s="195"/>
      <c r="Q150" s="200">
        <v>1228</v>
      </c>
      <c r="R150" s="196">
        <v>45537</v>
      </c>
      <c r="S150" s="200">
        <v>1535</v>
      </c>
      <c r="T150" s="192">
        <v>45519</v>
      </c>
      <c r="U150" s="193" t="s">
        <v>427</v>
      </c>
    </row>
    <row r="151" spans="1:21" x14ac:dyDescent="0.3">
      <c r="A151" s="230" t="s">
        <v>403</v>
      </c>
      <c r="B151" s="195" t="s">
        <v>77</v>
      </c>
      <c r="C151" s="196">
        <v>45478</v>
      </c>
      <c r="D151" s="195" t="s">
        <v>404</v>
      </c>
      <c r="E151" s="195" t="s">
        <v>120</v>
      </c>
      <c r="F151" s="197">
        <v>45536</v>
      </c>
      <c r="G151" s="198">
        <v>248</v>
      </c>
      <c r="H151" s="199">
        <v>45482</v>
      </c>
      <c r="I151" s="200">
        <v>2143</v>
      </c>
      <c r="J151" s="200"/>
      <c r="K151" s="196" t="s">
        <v>35</v>
      </c>
      <c r="L151" s="196"/>
      <c r="M151" s="195"/>
      <c r="N151" s="200"/>
      <c r="O151" s="196" t="s">
        <v>35</v>
      </c>
      <c r="P151" s="195"/>
      <c r="Q151" s="200">
        <v>857.2</v>
      </c>
      <c r="R151" s="196">
        <v>45496</v>
      </c>
      <c r="S151" s="201">
        <v>45497</v>
      </c>
      <c r="T151" s="165" t="s">
        <v>363</v>
      </c>
    </row>
    <row r="152" spans="1:21" x14ac:dyDescent="0.3">
      <c r="A152" s="230" t="s">
        <v>407</v>
      </c>
      <c r="B152" s="195"/>
      <c r="C152" s="195"/>
      <c r="D152" s="195" t="s">
        <v>408</v>
      </c>
      <c r="E152" s="195" t="s">
        <v>120</v>
      </c>
      <c r="F152" s="251">
        <v>45352</v>
      </c>
      <c r="G152" s="198">
        <v>249</v>
      </c>
      <c r="H152" s="199">
        <v>45482</v>
      </c>
      <c r="I152" s="200">
        <v>349</v>
      </c>
      <c r="J152" s="200"/>
      <c r="K152" s="196" t="s">
        <v>35</v>
      </c>
      <c r="L152" s="196"/>
      <c r="M152" s="195"/>
      <c r="N152" s="200"/>
      <c r="O152" s="196" t="s">
        <v>35</v>
      </c>
      <c r="P152" s="195"/>
      <c r="Q152" s="200">
        <v>349</v>
      </c>
      <c r="R152" s="195" t="s">
        <v>357</v>
      </c>
      <c r="S152" s="201">
        <v>45490</v>
      </c>
      <c r="T152" s="165" t="s">
        <v>363</v>
      </c>
    </row>
    <row r="153" spans="1:21" x14ac:dyDescent="0.3">
      <c r="A153" s="230" t="s">
        <v>175</v>
      </c>
      <c r="B153" s="195"/>
      <c r="C153" s="195"/>
      <c r="D153" s="195" t="s">
        <v>413</v>
      </c>
      <c r="E153" s="195" t="s">
        <v>120</v>
      </c>
      <c r="F153" s="197">
        <v>45619</v>
      </c>
      <c r="G153" s="198">
        <v>250</v>
      </c>
      <c r="H153" s="199">
        <v>45545</v>
      </c>
      <c r="I153" s="200">
        <v>38</v>
      </c>
      <c r="J153" s="200"/>
      <c r="K153" s="196" t="s">
        <v>35</v>
      </c>
      <c r="L153" s="196"/>
      <c r="M153" s="195"/>
      <c r="N153" s="200"/>
      <c r="O153" s="196" t="s">
        <v>35</v>
      </c>
      <c r="P153" s="195"/>
      <c r="Q153" s="200">
        <v>38</v>
      </c>
      <c r="R153" s="196">
        <v>45496</v>
      </c>
      <c r="S153" s="201">
        <v>45498</v>
      </c>
      <c r="T153" s="165" t="s">
        <v>363</v>
      </c>
    </row>
    <row r="154" spans="1:21" x14ac:dyDescent="0.3">
      <c r="A154" s="230" t="s">
        <v>410</v>
      </c>
      <c r="B154" s="195" t="s">
        <v>411</v>
      </c>
      <c r="C154" s="195"/>
      <c r="D154" s="195" t="s">
        <v>412</v>
      </c>
      <c r="E154" s="195" t="s">
        <v>120</v>
      </c>
      <c r="F154" s="310" t="s">
        <v>227</v>
      </c>
      <c r="G154" s="198">
        <v>251</v>
      </c>
      <c r="H154" s="199">
        <v>45483</v>
      </c>
      <c r="I154" s="200">
        <v>16400</v>
      </c>
      <c r="J154" s="200">
        <v>3280</v>
      </c>
      <c r="K154" s="196">
        <v>45498</v>
      </c>
      <c r="L154" s="201" t="s">
        <v>465</v>
      </c>
      <c r="M154" s="195" t="s">
        <v>118</v>
      </c>
      <c r="N154" s="200">
        <v>3280</v>
      </c>
      <c r="O154" s="287">
        <v>45703</v>
      </c>
      <c r="P154" s="201">
        <v>45705</v>
      </c>
      <c r="Q154" s="193">
        <v>9840</v>
      </c>
      <c r="R154" s="209">
        <v>45809</v>
      </c>
      <c r="T154" s="260" t="s">
        <v>693</v>
      </c>
      <c r="U154" s="193" t="s">
        <v>696</v>
      </c>
    </row>
    <row r="155" spans="1:21" x14ac:dyDescent="0.3">
      <c r="A155" s="220" t="s">
        <v>414</v>
      </c>
      <c r="B155" s="195"/>
      <c r="C155" s="196">
        <v>45474</v>
      </c>
      <c r="D155" s="195" t="s">
        <v>415</v>
      </c>
      <c r="E155" s="195" t="s">
        <v>106</v>
      </c>
      <c r="F155" s="197">
        <v>45499</v>
      </c>
      <c r="G155" s="198">
        <v>252</v>
      </c>
      <c r="H155" s="199">
        <v>45484</v>
      </c>
      <c r="I155" s="200">
        <v>720</v>
      </c>
      <c r="J155" s="200"/>
      <c r="K155" s="196" t="s">
        <v>35</v>
      </c>
      <c r="L155" s="196"/>
      <c r="M155" s="195"/>
      <c r="N155" s="200"/>
      <c r="O155" s="196" t="s">
        <v>35</v>
      </c>
      <c r="P155" s="195"/>
      <c r="Q155" s="200">
        <v>720</v>
      </c>
      <c r="R155" s="195" t="s">
        <v>357</v>
      </c>
      <c r="S155" s="252">
        <v>45492</v>
      </c>
      <c r="T155" s="165" t="s">
        <v>363</v>
      </c>
    </row>
    <row r="156" spans="1:21" x14ac:dyDescent="0.3">
      <c r="A156" s="253" t="s">
        <v>421</v>
      </c>
      <c r="B156" s="195" t="s">
        <v>422</v>
      </c>
      <c r="C156" s="195"/>
      <c r="D156" s="195" t="s">
        <v>423</v>
      </c>
      <c r="E156" s="195" t="s">
        <v>120</v>
      </c>
      <c r="F156" s="310" t="s">
        <v>227</v>
      </c>
      <c r="G156" s="198">
        <v>253</v>
      </c>
      <c r="H156" s="199">
        <v>45489</v>
      </c>
      <c r="I156" s="200">
        <v>9900</v>
      </c>
      <c r="J156" s="200">
        <v>1980</v>
      </c>
      <c r="K156" s="196">
        <v>45498</v>
      </c>
      <c r="L156" s="192">
        <v>45497</v>
      </c>
      <c r="M156" s="165" t="s">
        <v>118</v>
      </c>
      <c r="N156" s="193">
        <v>1980</v>
      </c>
      <c r="O156" s="209">
        <v>45703</v>
      </c>
      <c r="P156" s="328" t="s">
        <v>688</v>
      </c>
      <c r="Q156" s="193">
        <v>5940</v>
      </c>
      <c r="R156" s="209">
        <v>45809</v>
      </c>
    </row>
    <row r="157" spans="1:21" x14ac:dyDescent="0.3">
      <c r="A157" s="221" t="s">
        <v>424</v>
      </c>
      <c r="D157" s="254" t="s">
        <v>425</v>
      </c>
      <c r="E157" s="165" t="s">
        <v>106</v>
      </c>
      <c r="G157" s="223">
        <v>254</v>
      </c>
      <c r="H157" s="224">
        <v>45489</v>
      </c>
      <c r="I157" s="193">
        <v>138</v>
      </c>
      <c r="K157" s="192" t="s">
        <v>35</v>
      </c>
      <c r="O157" s="192" t="s">
        <v>35</v>
      </c>
      <c r="Q157" s="193">
        <v>138</v>
      </c>
      <c r="R157" s="165" t="s">
        <v>357</v>
      </c>
    </row>
    <row r="158" spans="1:21" x14ac:dyDescent="0.3">
      <c r="C158" s="192"/>
      <c r="D158" s="165" t="s">
        <v>426</v>
      </c>
    </row>
    <row r="159" spans="1:21" x14ac:dyDescent="0.3">
      <c r="A159" s="233" t="s">
        <v>428</v>
      </c>
      <c r="B159" s="195" t="s">
        <v>77</v>
      </c>
      <c r="C159" s="196">
        <v>45406</v>
      </c>
      <c r="D159" s="195" t="s">
        <v>429</v>
      </c>
      <c r="E159" s="195" t="s">
        <v>107</v>
      </c>
      <c r="F159" s="197">
        <v>45508</v>
      </c>
      <c r="G159" s="198">
        <v>255</v>
      </c>
      <c r="H159" s="199">
        <v>45492</v>
      </c>
      <c r="I159" s="200">
        <v>920</v>
      </c>
      <c r="J159" s="200"/>
      <c r="K159" s="196" t="s">
        <v>35</v>
      </c>
      <c r="L159" s="196"/>
      <c r="M159" s="195"/>
      <c r="N159" s="200"/>
      <c r="O159" s="196" t="s">
        <v>35</v>
      </c>
      <c r="P159" s="195"/>
      <c r="Q159" s="200">
        <v>368</v>
      </c>
      <c r="R159" s="196">
        <v>45497</v>
      </c>
      <c r="S159" s="201">
        <v>45496</v>
      </c>
      <c r="T159" s="165" t="s">
        <v>118</v>
      </c>
    </row>
    <row r="160" spans="1:21" x14ac:dyDescent="0.3">
      <c r="A160" s="220" t="s">
        <v>430</v>
      </c>
      <c r="B160" s="195"/>
      <c r="C160" s="195"/>
      <c r="D160" s="195" t="s">
        <v>431</v>
      </c>
      <c r="E160" s="195" t="s">
        <v>107</v>
      </c>
      <c r="F160" s="197">
        <v>45536</v>
      </c>
      <c r="G160" s="198">
        <v>256</v>
      </c>
      <c r="H160" s="199">
        <v>45492</v>
      </c>
      <c r="I160" s="200">
        <v>830</v>
      </c>
      <c r="J160" s="200"/>
      <c r="K160" s="196" t="s">
        <v>35</v>
      </c>
      <c r="L160" s="196" t="s">
        <v>432</v>
      </c>
      <c r="M160" s="195"/>
      <c r="N160" s="200"/>
      <c r="O160" s="196" t="s">
        <v>35</v>
      </c>
      <c r="P160" s="195"/>
      <c r="Q160" s="200">
        <v>278</v>
      </c>
      <c r="R160" s="196">
        <v>45498</v>
      </c>
      <c r="S160" s="201">
        <v>45495</v>
      </c>
    </row>
    <row r="161" spans="1:21" x14ac:dyDescent="0.3">
      <c r="A161" s="230" t="s">
        <v>435</v>
      </c>
      <c r="B161" s="195" t="s">
        <v>77</v>
      </c>
      <c r="C161" s="196">
        <v>45481</v>
      </c>
      <c r="D161" s="256" t="s">
        <v>436</v>
      </c>
      <c r="E161" s="195" t="s">
        <v>106</v>
      </c>
      <c r="F161" s="197">
        <v>45621</v>
      </c>
      <c r="G161" s="198">
        <v>257</v>
      </c>
      <c r="H161" s="199">
        <v>45496</v>
      </c>
      <c r="I161" s="200">
        <v>789</v>
      </c>
      <c r="J161" s="200">
        <v>157.80000000000001</v>
      </c>
      <c r="K161" s="196">
        <v>45503</v>
      </c>
      <c r="L161" s="196"/>
      <c r="M161" s="195"/>
      <c r="N161" s="200"/>
      <c r="O161" s="196" t="s">
        <v>35</v>
      </c>
      <c r="P161" s="195"/>
      <c r="Q161" s="200">
        <v>631.20000000000005</v>
      </c>
      <c r="R161" s="196">
        <v>45537</v>
      </c>
      <c r="S161" s="201">
        <v>45538</v>
      </c>
      <c r="T161" s="165" t="s">
        <v>118</v>
      </c>
    </row>
    <row r="162" spans="1:21" x14ac:dyDescent="0.3">
      <c r="A162" s="202" t="s">
        <v>437</v>
      </c>
      <c r="B162" s="203" t="s">
        <v>77</v>
      </c>
      <c r="C162" s="204">
        <v>45489</v>
      </c>
      <c r="D162" s="250" t="s">
        <v>438</v>
      </c>
      <c r="E162" s="203" t="s">
        <v>106</v>
      </c>
      <c r="F162" s="205">
        <v>45566</v>
      </c>
      <c r="G162" s="206">
        <v>258</v>
      </c>
      <c r="H162" s="207">
        <v>45496</v>
      </c>
      <c r="I162" s="208">
        <v>516.91999999999996</v>
      </c>
      <c r="J162" s="208">
        <v>103.38</v>
      </c>
      <c r="K162" s="204">
        <v>45503</v>
      </c>
      <c r="L162" s="204"/>
      <c r="M162" s="203"/>
      <c r="N162" s="208"/>
      <c r="O162" s="204" t="s">
        <v>35</v>
      </c>
      <c r="P162" s="203"/>
      <c r="Q162" s="208">
        <v>413.54</v>
      </c>
      <c r="R162" s="204">
        <v>45532</v>
      </c>
      <c r="S162" s="195" t="s">
        <v>520</v>
      </c>
      <c r="T162" s="177" t="s">
        <v>544</v>
      </c>
      <c r="U162" s="193" t="s">
        <v>118</v>
      </c>
    </row>
    <row r="163" spans="1:21" x14ac:dyDescent="0.3">
      <c r="A163" s="361" t="s">
        <v>167</v>
      </c>
      <c r="B163" s="354"/>
      <c r="C163" s="355">
        <v>45471</v>
      </c>
      <c r="D163" s="354" t="s">
        <v>439</v>
      </c>
      <c r="E163" s="354" t="s">
        <v>106</v>
      </c>
      <c r="F163" s="362">
        <v>45663</v>
      </c>
      <c r="G163" s="358">
        <v>259</v>
      </c>
      <c r="H163" s="359">
        <v>45496</v>
      </c>
      <c r="I163" s="360">
        <v>680</v>
      </c>
      <c r="J163" s="360">
        <v>136</v>
      </c>
      <c r="K163" s="355">
        <v>45503</v>
      </c>
      <c r="L163" s="355"/>
      <c r="M163" s="354"/>
      <c r="N163" s="360"/>
      <c r="O163" s="355" t="s">
        <v>35</v>
      </c>
      <c r="P163" s="354"/>
      <c r="Q163" s="360">
        <v>544</v>
      </c>
      <c r="R163" s="355">
        <v>45627</v>
      </c>
      <c r="S163" s="265" t="s">
        <v>695</v>
      </c>
    </row>
    <row r="164" spans="1:21" x14ac:dyDescent="0.3">
      <c r="A164" s="353" t="s">
        <v>440</v>
      </c>
      <c r="B164" s="354" t="s">
        <v>77</v>
      </c>
      <c r="C164" s="355">
        <v>45492</v>
      </c>
      <c r="D164" s="356" t="s">
        <v>441</v>
      </c>
      <c r="E164" s="354" t="s">
        <v>106</v>
      </c>
      <c r="F164" s="357">
        <v>45510</v>
      </c>
      <c r="G164" s="358">
        <v>260</v>
      </c>
      <c r="H164" s="359">
        <v>45496</v>
      </c>
      <c r="I164" s="360">
        <v>441</v>
      </c>
      <c r="J164" s="360"/>
      <c r="K164" s="355" t="s">
        <v>35</v>
      </c>
      <c r="L164" s="355"/>
      <c r="M164" s="354"/>
      <c r="N164" s="360"/>
      <c r="O164" s="355" t="s">
        <v>35</v>
      </c>
      <c r="P164" s="354"/>
      <c r="Q164" s="360">
        <v>441</v>
      </c>
      <c r="R164" s="354" t="s">
        <v>357</v>
      </c>
      <c r="S164" s="265" t="s">
        <v>694</v>
      </c>
    </row>
    <row r="165" spans="1:21" x14ac:dyDescent="0.3">
      <c r="A165" s="230" t="s">
        <v>442</v>
      </c>
      <c r="B165" s="195" t="s">
        <v>77</v>
      </c>
      <c r="C165" s="196">
        <v>45495</v>
      </c>
      <c r="D165" s="256" t="s">
        <v>443</v>
      </c>
      <c r="E165" s="196" t="s">
        <v>120</v>
      </c>
      <c r="F165" s="197">
        <v>45635</v>
      </c>
      <c r="G165" s="198">
        <v>261</v>
      </c>
      <c r="H165" s="199">
        <v>45496</v>
      </c>
      <c r="I165" s="200">
        <v>477</v>
      </c>
      <c r="J165" s="200">
        <v>95.4</v>
      </c>
      <c r="K165" s="196">
        <v>45503</v>
      </c>
      <c r="L165" s="196"/>
      <c r="M165" s="195"/>
      <c r="N165" s="200"/>
      <c r="O165" s="196" t="s">
        <v>35</v>
      </c>
      <c r="P165" s="195"/>
      <c r="Q165" s="200">
        <v>381.6</v>
      </c>
      <c r="R165" s="196">
        <v>45593</v>
      </c>
      <c r="S165" s="300">
        <v>45624</v>
      </c>
      <c r="T165" s="165" t="s">
        <v>363</v>
      </c>
    </row>
    <row r="166" spans="1:21" x14ac:dyDescent="0.3">
      <c r="A166" s="255" t="s">
        <v>444</v>
      </c>
      <c r="B166" s="195"/>
      <c r="C166" s="196">
        <v>45494</v>
      </c>
      <c r="D166" s="256" t="s">
        <v>445</v>
      </c>
      <c r="E166" s="195" t="s">
        <v>106</v>
      </c>
      <c r="F166" s="197">
        <v>45607</v>
      </c>
      <c r="G166" s="198">
        <v>262</v>
      </c>
      <c r="H166" s="199">
        <v>45504</v>
      </c>
      <c r="I166" s="200">
        <v>990</v>
      </c>
      <c r="J166" s="200">
        <v>198</v>
      </c>
      <c r="K166" s="196">
        <v>45512</v>
      </c>
      <c r="L166" s="201">
        <v>45509</v>
      </c>
      <c r="M166" s="195" t="s">
        <v>118</v>
      </c>
      <c r="N166" s="200"/>
      <c r="O166" s="196" t="s">
        <v>35</v>
      </c>
      <c r="P166" s="195"/>
      <c r="Q166" s="200">
        <v>792</v>
      </c>
      <c r="R166" s="196">
        <v>45566</v>
      </c>
      <c r="S166" s="192">
        <v>45565</v>
      </c>
    </row>
    <row r="167" spans="1:21" x14ac:dyDescent="0.3">
      <c r="A167" s="255" t="s">
        <v>446</v>
      </c>
      <c r="B167" s="195" t="s">
        <v>77</v>
      </c>
      <c r="C167" s="196">
        <v>45497</v>
      </c>
      <c r="D167" s="235" t="s">
        <v>447</v>
      </c>
      <c r="E167" s="195" t="s">
        <v>107</v>
      </c>
      <c r="F167" s="197">
        <v>45514</v>
      </c>
      <c r="G167" s="198">
        <v>263</v>
      </c>
      <c r="H167" s="199">
        <v>45500</v>
      </c>
      <c r="I167" s="200">
        <v>688</v>
      </c>
      <c r="J167" s="200"/>
      <c r="K167" s="196" t="s">
        <v>35</v>
      </c>
      <c r="L167" s="196"/>
      <c r="M167" s="195"/>
      <c r="N167" s="200"/>
      <c r="O167" s="196" t="s">
        <v>35</v>
      </c>
      <c r="P167" s="195"/>
      <c r="Q167" s="200">
        <v>276.2</v>
      </c>
      <c r="R167" s="196" t="s">
        <v>357</v>
      </c>
      <c r="S167" s="201">
        <v>45502</v>
      </c>
      <c r="T167" s="165" t="s">
        <v>118</v>
      </c>
    </row>
    <row r="168" spans="1:21" x14ac:dyDescent="0.3">
      <c r="A168" s="285" t="s">
        <v>448</v>
      </c>
      <c r="B168" s="195" t="s">
        <v>77</v>
      </c>
      <c r="C168" s="196">
        <v>45497</v>
      </c>
      <c r="D168" s="256" t="s">
        <v>449</v>
      </c>
      <c r="E168" s="195" t="s">
        <v>107</v>
      </c>
      <c r="F168" s="307">
        <v>45839</v>
      </c>
      <c r="G168" s="198">
        <v>264</v>
      </c>
      <c r="H168" s="199">
        <v>45500</v>
      </c>
      <c r="I168" s="200">
        <v>1594</v>
      </c>
      <c r="J168" s="200">
        <v>318.8</v>
      </c>
      <c r="K168" s="196">
        <v>45506</v>
      </c>
      <c r="L168" s="286" t="s">
        <v>579</v>
      </c>
      <c r="M168" s="177"/>
      <c r="N168" s="363" t="s">
        <v>587</v>
      </c>
      <c r="O168" s="364" t="s">
        <v>35</v>
      </c>
      <c r="P168" s="365"/>
      <c r="Q168" s="363">
        <f>1275.2-158.2</f>
        <v>1117</v>
      </c>
      <c r="R168" s="366">
        <v>45808</v>
      </c>
      <c r="S168" s="201">
        <v>45368</v>
      </c>
      <c r="T168" s="165" t="s">
        <v>363</v>
      </c>
    </row>
    <row r="169" spans="1:21" x14ac:dyDescent="0.3">
      <c r="A169" s="257" t="s">
        <v>450</v>
      </c>
      <c r="B169" s="195"/>
      <c r="C169" s="196">
        <v>45501</v>
      </c>
      <c r="D169" s="256" t="s">
        <v>451</v>
      </c>
      <c r="E169" s="195" t="s">
        <v>106</v>
      </c>
      <c r="F169" s="307">
        <v>45667</v>
      </c>
      <c r="G169" s="198">
        <v>265</v>
      </c>
      <c r="H169" s="199">
        <v>45504</v>
      </c>
      <c r="I169" s="200">
        <v>1750</v>
      </c>
      <c r="J169" s="200">
        <v>350</v>
      </c>
      <c r="K169" s="196">
        <v>45512</v>
      </c>
      <c r="L169" s="201">
        <v>45510</v>
      </c>
      <c r="M169" s="195" t="s">
        <v>118</v>
      </c>
      <c r="N169" s="200"/>
      <c r="O169" s="196" t="s">
        <v>35</v>
      </c>
      <c r="P169" s="195"/>
      <c r="Q169" s="200">
        <v>1400</v>
      </c>
      <c r="R169" s="196">
        <v>45627</v>
      </c>
      <c r="S169" s="201">
        <v>45600</v>
      </c>
      <c r="T169" s="165" t="s">
        <v>363</v>
      </c>
    </row>
    <row r="170" spans="1:21" x14ac:dyDescent="0.3">
      <c r="A170" s="257" t="s">
        <v>452</v>
      </c>
      <c r="B170" s="195"/>
      <c r="C170" s="196">
        <v>45501</v>
      </c>
      <c r="D170" s="256" t="s">
        <v>451</v>
      </c>
      <c r="E170" s="195" t="s">
        <v>106</v>
      </c>
      <c r="F170" s="307">
        <v>45667</v>
      </c>
      <c r="G170" s="198">
        <v>266</v>
      </c>
      <c r="H170" s="199">
        <v>45504</v>
      </c>
      <c r="I170" s="200">
        <v>1750</v>
      </c>
      <c r="J170" s="200">
        <v>350</v>
      </c>
      <c r="K170" s="196">
        <v>45512</v>
      </c>
      <c r="L170" s="201">
        <v>45509</v>
      </c>
      <c r="M170" s="195" t="s">
        <v>118</v>
      </c>
      <c r="N170" s="200"/>
      <c r="O170" s="196" t="s">
        <v>35</v>
      </c>
      <c r="P170" s="195"/>
      <c r="Q170" s="200">
        <v>1400</v>
      </c>
      <c r="R170" s="196">
        <v>45627</v>
      </c>
      <c r="S170" s="201">
        <v>45615</v>
      </c>
      <c r="T170" s="165" t="s">
        <v>581</v>
      </c>
    </row>
    <row r="171" spans="1:21" x14ac:dyDescent="0.3">
      <c r="A171" s="257" t="s">
        <v>453</v>
      </c>
      <c r="B171" s="195"/>
      <c r="C171" s="196">
        <v>45501</v>
      </c>
      <c r="D171" s="256" t="s">
        <v>454</v>
      </c>
      <c r="E171" s="195" t="s">
        <v>106</v>
      </c>
      <c r="F171" s="197">
        <v>45571</v>
      </c>
      <c r="G171" s="198">
        <v>267</v>
      </c>
      <c r="H171" s="199">
        <v>45504</v>
      </c>
      <c r="I171" s="200">
        <v>2530</v>
      </c>
      <c r="J171" s="200">
        <v>506</v>
      </c>
      <c r="K171" s="196">
        <v>45512</v>
      </c>
      <c r="L171" s="201">
        <v>45512</v>
      </c>
      <c r="M171" s="195" t="s">
        <v>118</v>
      </c>
      <c r="N171" s="200"/>
      <c r="O171" s="196" t="s">
        <v>35</v>
      </c>
      <c r="P171" s="195"/>
      <c r="Q171" s="200">
        <v>2024</v>
      </c>
      <c r="R171" s="196">
        <v>45536</v>
      </c>
      <c r="S171" s="219"/>
      <c r="T171" s="165" t="s">
        <v>118</v>
      </c>
    </row>
    <row r="172" spans="1:21" x14ac:dyDescent="0.3">
      <c r="A172" s="220" t="s">
        <v>455</v>
      </c>
      <c r="B172" s="195" t="s">
        <v>77</v>
      </c>
      <c r="C172" s="196">
        <v>45501</v>
      </c>
      <c r="D172" s="195" t="s">
        <v>456</v>
      </c>
      <c r="E172" s="195" t="s">
        <v>106</v>
      </c>
      <c r="F172" s="307">
        <v>45658</v>
      </c>
      <c r="G172" s="198">
        <v>268</v>
      </c>
      <c r="H172" s="199">
        <v>45504</v>
      </c>
      <c r="I172" s="200">
        <v>1238</v>
      </c>
      <c r="J172" s="200">
        <v>247.6</v>
      </c>
      <c r="K172" s="196">
        <v>45512</v>
      </c>
      <c r="L172" s="201">
        <v>45506</v>
      </c>
      <c r="M172" s="195" t="s">
        <v>118</v>
      </c>
      <c r="N172" s="200"/>
      <c r="O172" s="196" t="s">
        <v>35</v>
      </c>
      <c r="P172" s="195"/>
      <c r="Q172" s="200">
        <v>990.4</v>
      </c>
      <c r="R172" s="196">
        <v>45621</v>
      </c>
      <c r="S172" s="300">
        <v>45621</v>
      </c>
      <c r="T172" s="260" t="s">
        <v>581</v>
      </c>
    </row>
    <row r="173" spans="1:21" x14ac:dyDescent="0.3">
      <c r="A173" s="230" t="s">
        <v>457</v>
      </c>
      <c r="B173" s="195" t="s">
        <v>77</v>
      </c>
      <c r="C173" s="196">
        <v>45501</v>
      </c>
      <c r="D173" s="195" t="s">
        <v>458</v>
      </c>
      <c r="E173" s="195" t="s">
        <v>107</v>
      </c>
      <c r="F173" s="198" t="s">
        <v>459</v>
      </c>
      <c r="G173" s="198">
        <v>269</v>
      </c>
      <c r="H173" s="199">
        <v>45504</v>
      </c>
      <c r="I173" s="200">
        <v>1036</v>
      </c>
      <c r="J173" s="200"/>
      <c r="K173" s="196" t="s">
        <v>35</v>
      </c>
      <c r="L173" s="196"/>
      <c r="M173" s="195"/>
      <c r="N173" s="200"/>
      <c r="O173" s="196" t="s">
        <v>35</v>
      </c>
      <c r="P173" s="195"/>
      <c r="Q173" s="200">
        <v>414.4</v>
      </c>
      <c r="R173" s="195" t="s">
        <v>357</v>
      </c>
      <c r="S173" s="201" t="s">
        <v>473</v>
      </c>
      <c r="T173" s="165" t="s">
        <v>118</v>
      </c>
    </row>
    <row r="174" spans="1:21" x14ac:dyDescent="0.3">
      <c r="A174" s="230" t="s">
        <v>460</v>
      </c>
      <c r="B174" s="195" t="s">
        <v>77</v>
      </c>
      <c r="C174" s="196">
        <v>45499</v>
      </c>
      <c r="D174" s="195" t="s">
        <v>461</v>
      </c>
      <c r="E174" s="195" t="s">
        <v>107</v>
      </c>
      <c r="F174" s="197">
        <v>45549</v>
      </c>
      <c r="G174" s="198">
        <v>270</v>
      </c>
      <c r="H174" s="199">
        <v>45504</v>
      </c>
      <c r="I174" s="200">
        <v>876</v>
      </c>
      <c r="J174" s="200"/>
      <c r="K174" s="196" t="s">
        <v>35</v>
      </c>
      <c r="L174" s="196"/>
      <c r="M174" s="195"/>
      <c r="N174" s="200"/>
      <c r="O174" s="196" t="s">
        <v>35</v>
      </c>
      <c r="P174" s="195"/>
      <c r="Q174" s="200">
        <v>350.4</v>
      </c>
      <c r="R174" s="258">
        <v>45512</v>
      </c>
      <c r="S174" s="201">
        <v>45511</v>
      </c>
      <c r="T174" s="165" t="s">
        <v>118</v>
      </c>
    </row>
    <row r="175" spans="1:21" x14ac:dyDescent="0.3">
      <c r="A175" s="230" t="s">
        <v>462</v>
      </c>
      <c r="B175" s="195" t="s">
        <v>77</v>
      </c>
      <c r="C175" s="196">
        <v>45503</v>
      </c>
      <c r="D175" s="247" t="s">
        <v>463</v>
      </c>
      <c r="E175" s="195" t="s">
        <v>107</v>
      </c>
      <c r="F175" s="197">
        <v>45570</v>
      </c>
      <c r="G175" s="198">
        <v>271</v>
      </c>
      <c r="H175" s="199">
        <v>45504</v>
      </c>
      <c r="I175" s="200">
        <v>2019</v>
      </c>
      <c r="J175" s="200"/>
      <c r="K175" s="196" t="s">
        <v>35</v>
      </c>
      <c r="L175" s="196"/>
      <c r="M175" s="195"/>
      <c r="N175" s="200"/>
      <c r="O175" s="196" t="s">
        <v>35</v>
      </c>
      <c r="P175" s="195"/>
      <c r="Q175" s="200">
        <v>807.6</v>
      </c>
      <c r="R175" s="196">
        <v>45512</v>
      </c>
      <c r="S175" s="201">
        <v>45516</v>
      </c>
      <c r="T175" s="165" t="s">
        <v>118</v>
      </c>
    </row>
    <row r="176" spans="1:21" x14ac:dyDescent="0.3">
      <c r="A176" s="253" t="s">
        <v>464</v>
      </c>
      <c r="B176" s="195"/>
      <c r="C176" s="196">
        <v>45499</v>
      </c>
      <c r="D176" s="195" t="s">
        <v>423</v>
      </c>
      <c r="E176" s="195" t="s">
        <v>120</v>
      </c>
      <c r="F176" s="307">
        <v>45689</v>
      </c>
      <c r="G176" s="198">
        <v>272</v>
      </c>
      <c r="H176" s="199">
        <v>45504</v>
      </c>
      <c r="I176" s="200">
        <v>9900</v>
      </c>
      <c r="J176" s="200">
        <v>3960</v>
      </c>
      <c r="K176" s="196">
        <v>45519</v>
      </c>
      <c r="L176" s="201">
        <v>45506</v>
      </c>
      <c r="M176" s="195" t="s">
        <v>118</v>
      </c>
      <c r="N176" s="200"/>
      <c r="O176" s="196" t="s">
        <v>35</v>
      </c>
      <c r="P176" s="195"/>
      <c r="Q176" s="200">
        <v>5940</v>
      </c>
      <c r="R176" s="196">
        <v>45627</v>
      </c>
      <c r="S176" s="304">
        <f>4000+1940</f>
        <v>5940</v>
      </c>
      <c r="T176" s="192" t="s">
        <v>667</v>
      </c>
      <c r="U176" s="193" t="s">
        <v>118</v>
      </c>
    </row>
    <row r="177" spans="1:21" x14ac:dyDescent="0.3">
      <c r="A177" s="220" t="s">
        <v>466</v>
      </c>
      <c r="B177" s="195"/>
      <c r="C177" s="196">
        <v>45499</v>
      </c>
      <c r="D177" s="195" t="s">
        <v>467</v>
      </c>
      <c r="E177" s="195" t="s">
        <v>109</v>
      </c>
      <c r="F177" s="197">
        <v>45535</v>
      </c>
      <c r="G177" s="198">
        <v>273</v>
      </c>
      <c r="H177" s="199">
        <v>45504</v>
      </c>
      <c r="I177" s="200">
        <v>1165</v>
      </c>
      <c r="J177" s="200"/>
      <c r="K177" s="196" t="s">
        <v>35</v>
      </c>
      <c r="L177" s="196"/>
      <c r="M177" s="195"/>
      <c r="N177" s="200"/>
      <c r="O177" s="196" t="s">
        <v>35</v>
      </c>
      <c r="P177" s="195"/>
      <c r="Q177" s="200">
        <v>1165</v>
      </c>
      <c r="R177" s="195" t="s">
        <v>357</v>
      </c>
      <c r="S177" s="201">
        <v>45510</v>
      </c>
      <c r="T177" s="165" t="s">
        <v>118</v>
      </c>
    </row>
    <row r="178" spans="1:21" x14ac:dyDescent="0.3">
      <c r="A178" s="220" t="s">
        <v>469</v>
      </c>
      <c r="B178" s="195" t="s">
        <v>77</v>
      </c>
      <c r="C178" s="196">
        <v>45495</v>
      </c>
      <c r="D178" s="195" t="s">
        <v>470</v>
      </c>
      <c r="E178" s="195" t="s">
        <v>109</v>
      </c>
      <c r="F178" s="197">
        <v>45537</v>
      </c>
      <c r="G178" s="198">
        <v>274</v>
      </c>
      <c r="H178" s="199">
        <v>45505</v>
      </c>
      <c r="I178" s="200">
        <v>1136</v>
      </c>
      <c r="J178" s="200"/>
      <c r="K178" s="196" t="s">
        <v>35</v>
      </c>
      <c r="L178" s="192">
        <v>45541</v>
      </c>
      <c r="M178" s="165" t="s">
        <v>118</v>
      </c>
      <c r="O178" s="192" t="s">
        <v>35</v>
      </c>
      <c r="Q178" s="193">
        <v>1136</v>
      </c>
      <c r="R178" s="165" t="s">
        <v>357</v>
      </c>
    </row>
    <row r="179" spans="1:21" x14ac:dyDescent="0.3">
      <c r="A179" s="230" t="s">
        <v>472</v>
      </c>
      <c r="B179" s="195"/>
      <c r="C179" s="196">
        <v>45503</v>
      </c>
      <c r="D179" s="195" t="s">
        <v>350</v>
      </c>
      <c r="E179" s="195" t="s">
        <v>106</v>
      </c>
      <c r="F179" s="197">
        <v>45609</v>
      </c>
      <c r="G179" s="198">
        <v>275</v>
      </c>
      <c r="H179" s="199">
        <v>45510</v>
      </c>
      <c r="I179" s="200">
        <v>780</v>
      </c>
      <c r="J179" s="200">
        <v>156</v>
      </c>
      <c r="K179" s="196">
        <v>45519</v>
      </c>
      <c r="L179" s="201">
        <v>45533</v>
      </c>
      <c r="M179" s="195" t="s">
        <v>118</v>
      </c>
      <c r="N179" s="200"/>
      <c r="O179" s="196" t="s">
        <v>35</v>
      </c>
      <c r="P179" s="195"/>
      <c r="Q179" s="200">
        <v>624</v>
      </c>
      <c r="R179" s="196">
        <v>45566</v>
      </c>
      <c r="S179" s="201">
        <v>45558</v>
      </c>
      <c r="T179" s="260" t="s">
        <v>118</v>
      </c>
    </row>
    <row r="180" spans="1:21" x14ac:dyDescent="0.3">
      <c r="A180" s="230" t="s">
        <v>172</v>
      </c>
      <c r="B180" s="195" t="s">
        <v>475</v>
      </c>
      <c r="C180" s="196">
        <v>45508</v>
      </c>
      <c r="D180" s="195" t="s">
        <v>476</v>
      </c>
      <c r="E180" s="195" t="s">
        <v>106</v>
      </c>
      <c r="F180" s="198" t="s">
        <v>477</v>
      </c>
      <c r="G180" s="198">
        <v>276</v>
      </c>
      <c r="H180" s="199">
        <v>45518</v>
      </c>
      <c r="I180" s="200">
        <v>1140</v>
      </c>
      <c r="J180" s="200">
        <v>228</v>
      </c>
      <c r="K180" s="196">
        <v>45525</v>
      </c>
      <c r="L180" s="196"/>
      <c r="M180" s="195"/>
      <c r="N180" s="200"/>
      <c r="O180" s="196" t="s">
        <v>35</v>
      </c>
      <c r="P180" s="195"/>
      <c r="Q180" s="200">
        <v>912</v>
      </c>
      <c r="R180" s="196">
        <v>45627</v>
      </c>
      <c r="S180" s="259">
        <v>1140</v>
      </c>
      <c r="T180" s="201">
        <v>45520</v>
      </c>
      <c r="U180" s="193" t="s">
        <v>118</v>
      </c>
    </row>
    <row r="181" spans="1:21" x14ac:dyDescent="0.3">
      <c r="A181" s="230" t="s">
        <v>478</v>
      </c>
      <c r="B181" s="195"/>
      <c r="C181" s="196">
        <v>45512</v>
      </c>
      <c r="D181" s="195" t="s">
        <v>479</v>
      </c>
      <c r="E181" s="195" t="s">
        <v>106</v>
      </c>
      <c r="F181" s="307">
        <v>45736</v>
      </c>
      <c r="G181" s="198">
        <v>277</v>
      </c>
      <c r="H181" s="199">
        <v>45518</v>
      </c>
      <c r="I181" s="200">
        <v>1470</v>
      </c>
      <c r="J181" s="200">
        <v>294</v>
      </c>
      <c r="K181" s="196">
        <v>45525</v>
      </c>
      <c r="L181" s="201">
        <v>45523</v>
      </c>
      <c r="M181" s="195" t="s">
        <v>118</v>
      </c>
      <c r="N181" s="200"/>
      <c r="O181" s="196" t="s">
        <v>35</v>
      </c>
      <c r="P181" s="195"/>
      <c r="Q181" s="200">
        <v>1176</v>
      </c>
      <c r="R181" s="287">
        <v>45689</v>
      </c>
      <c r="S181" s="192">
        <v>45587</v>
      </c>
      <c r="T181" s="260" t="s">
        <v>118</v>
      </c>
    </row>
    <row r="182" spans="1:21" x14ac:dyDescent="0.3">
      <c r="A182" s="220" t="s">
        <v>366</v>
      </c>
      <c r="B182" s="195"/>
      <c r="C182" s="195"/>
      <c r="D182" s="195" t="s">
        <v>480</v>
      </c>
      <c r="E182" s="195" t="s">
        <v>109</v>
      </c>
      <c r="F182" s="198"/>
      <c r="G182" s="198">
        <v>278</v>
      </c>
      <c r="H182" s="199">
        <v>45518</v>
      </c>
      <c r="I182" s="200">
        <v>120</v>
      </c>
      <c r="J182" s="200"/>
      <c r="K182" s="196" t="s">
        <v>35</v>
      </c>
      <c r="L182" s="196"/>
      <c r="M182" s="195"/>
      <c r="N182" s="200"/>
      <c r="O182" s="196" t="s">
        <v>35</v>
      </c>
      <c r="P182" s="195"/>
      <c r="Q182" s="200">
        <v>120</v>
      </c>
      <c r="R182" s="195" t="s">
        <v>357</v>
      </c>
      <c r="S182" s="201">
        <v>45524</v>
      </c>
      <c r="T182" s="165" t="s">
        <v>118</v>
      </c>
    </row>
    <row r="183" spans="1:21" x14ac:dyDescent="0.3">
      <c r="A183" s="230" t="s">
        <v>481</v>
      </c>
      <c r="B183" s="195"/>
      <c r="C183" s="195"/>
      <c r="D183" s="195" t="s">
        <v>482</v>
      </c>
      <c r="E183" s="195" t="s">
        <v>120</v>
      </c>
      <c r="F183" s="310" t="s">
        <v>483</v>
      </c>
      <c r="G183" s="198">
        <v>279</v>
      </c>
      <c r="H183" s="199">
        <v>45518</v>
      </c>
      <c r="I183" s="200">
        <v>13800</v>
      </c>
      <c r="J183" s="200">
        <v>2760</v>
      </c>
      <c r="K183" s="196">
        <v>45529</v>
      </c>
      <c r="L183" s="201"/>
      <c r="M183" s="195" t="s">
        <v>118</v>
      </c>
      <c r="N183" s="200">
        <v>2760</v>
      </c>
      <c r="O183" s="329">
        <v>45703</v>
      </c>
      <c r="P183" s="195" t="s">
        <v>118</v>
      </c>
      <c r="Q183" s="200">
        <v>8280</v>
      </c>
      <c r="R183" s="287">
        <v>45809</v>
      </c>
      <c r="S183" s="201">
        <v>45810</v>
      </c>
      <c r="T183" s="260" t="s">
        <v>118</v>
      </c>
    </row>
    <row r="184" spans="1:21" x14ac:dyDescent="0.3">
      <c r="A184" s="342" t="s">
        <v>428</v>
      </c>
      <c r="B184" s="240"/>
      <c r="C184" s="240"/>
      <c r="D184" s="240" t="s">
        <v>484</v>
      </c>
      <c r="E184" s="240" t="s">
        <v>120</v>
      </c>
      <c r="F184" s="242"/>
      <c r="G184" s="242">
        <v>280</v>
      </c>
      <c r="H184" s="243">
        <v>45518</v>
      </c>
      <c r="I184" s="244">
        <v>452</v>
      </c>
      <c r="J184" s="244"/>
      <c r="K184" s="245" t="s">
        <v>35</v>
      </c>
      <c r="L184" s="245"/>
      <c r="M184" s="240"/>
      <c r="N184" s="244"/>
      <c r="O184" s="245" t="s">
        <v>35</v>
      </c>
      <c r="P184" s="240"/>
      <c r="Q184" s="244">
        <v>452</v>
      </c>
      <c r="R184" s="245">
        <v>45525</v>
      </c>
      <c r="S184" s="265" t="s">
        <v>692</v>
      </c>
    </row>
    <row r="185" spans="1:21" x14ac:dyDescent="0.3">
      <c r="A185" s="220" t="s">
        <v>486</v>
      </c>
      <c r="B185" s="195"/>
      <c r="C185" s="196">
        <v>45521</v>
      </c>
      <c r="D185" s="195" t="s">
        <v>487</v>
      </c>
      <c r="E185" s="195" t="s">
        <v>106</v>
      </c>
      <c r="F185" s="307">
        <v>45844</v>
      </c>
      <c r="G185" s="198">
        <v>281</v>
      </c>
      <c r="H185" s="199">
        <v>45524</v>
      </c>
      <c r="I185" s="200">
        <v>2539</v>
      </c>
      <c r="J185" s="200">
        <v>507.8</v>
      </c>
      <c r="K185" s="196">
        <v>45531</v>
      </c>
      <c r="L185" s="201">
        <v>45538</v>
      </c>
      <c r="M185" s="195" t="s">
        <v>118</v>
      </c>
      <c r="N185" s="200"/>
      <c r="O185" s="196" t="s">
        <v>35</v>
      </c>
      <c r="P185" s="195"/>
      <c r="Q185" s="200">
        <v>2031.2</v>
      </c>
      <c r="R185" s="287">
        <v>45802</v>
      </c>
      <c r="S185" s="300">
        <v>45800</v>
      </c>
      <c r="T185" s="165" t="s">
        <v>118</v>
      </c>
    </row>
    <row r="186" spans="1:21" x14ac:dyDescent="0.3">
      <c r="A186" s="292" t="s">
        <v>488</v>
      </c>
      <c r="B186" s="177" t="s">
        <v>77</v>
      </c>
      <c r="C186" s="286">
        <v>45518</v>
      </c>
      <c r="D186" s="177" t="s">
        <v>489</v>
      </c>
      <c r="E186" s="177" t="s">
        <v>106</v>
      </c>
      <c r="F186" s="309">
        <v>45663</v>
      </c>
      <c r="G186" s="294">
        <v>282</v>
      </c>
      <c r="H186" s="295">
        <v>45524</v>
      </c>
      <c r="I186" s="296">
        <v>432</v>
      </c>
      <c r="J186" s="296">
        <v>86.4</v>
      </c>
      <c r="K186" s="286">
        <v>45531</v>
      </c>
      <c r="L186" s="286"/>
      <c r="M186" s="177"/>
      <c r="N186" s="296"/>
      <c r="O186" s="286" t="s">
        <v>35</v>
      </c>
      <c r="P186" s="177" t="s">
        <v>597</v>
      </c>
      <c r="Q186" s="296">
        <v>345.6</v>
      </c>
      <c r="R186" s="201">
        <v>45595</v>
      </c>
      <c r="S186" s="165" t="s">
        <v>596</v>
      </c>
    </row>
    <row r="187" spans="1:21" x14ac:dyDescent="0.3">
      <c r="A187" s="238" t="s">
        <v>490</v>
      </c>
      <c r="B187" s="165" t="s">
        <v>77</v>
      </c>
      <c r="C187" s="192">
        <v>45521</v>
      </c>
      <c r="D187" s="227" t="s">
        <v>491</v>
      </c>
      <c r="E187" s="260" t="s">
        <v>120</v>
      </c>
      <c r="F187" s="222">
        <v>45529</v>
      </c>
      <c r="G187" s="223">
        <v>283</v>
      </c>
      <c r="H187" s="224">
        <v>45524</v>
      </c>
      <c r="I187" s="193">
        <f>805+210</f>
        <v>1015</v>
      </c>
      <c r="K187" s="192" t="s">
        <v>35</v>
      </c>
      <c r="O187" s="192" t="s">
        <v>35</v>
      </c>
      <c r="Q187" s="193">
        <v>532</v>
      </c>
      <c r="R187" s="165" t="s">
        <v>357</v>
      </c>
    </row>
    <row r="188" spans="1:21" x14ac:dyDescent="0.3">
      <c r="A188" s="264" t="s">
        <v>492</v>
      </c>
      <c r="B188" s="186" t="s">
        <v>77</v>
      </c>
      <c r="C188" s="187">
        <v>45521</v>
      </c>
      <c r="D188" s="265" t="s">
        <v>512</v>
      </c>
      <c r="E188" s="172" t="s">
        <v>120</v>
      </c>
      <c r="F188" s="188">
        <v>45553</v>
      </c>
      <c r="G188" s="189">
        <v>284</v>
      </c>
      <c r="H188" s="190">
        <v>45524</v>
      </c>
      <c r="I188" s="191">
        <v>858</v>
      </c>
      <c r="J188" s="191"/>
      <c r="K188" s="187" t="s">
        <v>35</v>
      </c>
      <c r="L188" s="187"/>
      <c r="M188" s="186"/>
      <c r="N188" s="191"/>
      <c r="O188" s="187" t="s">
        <v>35</v>
      </c>
      <c r="P188" s="186"/>
      <c r="Q188" s="191">
        <v>343.2</v>
      </c>
      <c r="R188" s="187">
        <v>45531</v>
      </c>
      <c r="S188" s="165" t="s">
        <v>513</v>
      </c>
    </row>
    <row r="189" spans="1:21" x14ac:dyDescent="0.3">
      <c r="A189" s="261" t="s">
        <v>160</v>
      </c>
      <c r="C189" s="192"/>
      <c r="D189" s="262" t="s">
        <v>497</v>
      </c>
      <c r="E189" s="260" t="s">
        <v>120</v>
      </c>
      <c r="F189" s="222"/>
      <c r="G189" s="223">
        <v>285</v>
      </c>
      <c r="H189" s="224">
        <v>45528</v>
      </c>
      <c r="I189" s="193">
        <v>30</v>
      </c>
      <c r="K189" s="192" t="s">
        <v>35</v>
      </c>
      <c r="O189" s="192" t="s">
        <v>35</v>
      </c>
      <c r="Q189" s="193">
        <v>30</v>
      </c>
      <c r="R189" s="192">
        <v>45537</v>
      </c>
    </row>
    <row r="190" spans="1:21" x14ac:dyDescent="0.3">
      <c r="A190" s="230" t="s">
        <v>495</v>
      </c>
      <c r="B190" s="195" t="s">
        <v>77</v>
      </c>
      <c r="C190" s="196">
        <v>45319</v>
      </c>
      <c r="D190" s="195" t="s">
        <v>496</v>
      </c>
      <c r="E190" s="195" t="s">
        <v>106</v>
      </c>
      <c r="F190" s="197">
        <v>45297</v>
      </c>
      <c r="G190" s="198">
        <v>286</v>
      </c>
      <c r="H190" s="199">
        <v>45528</v>
      </c>
      <c r="I190" s="200">
        <v>1598</v>
      </c>
      <c r="J190" s="200">
        <v>319.60000000000002</v>
      </c>
      <c r="K190" s="196">
        <v>45537</v>
      </c>
      <c r="L190" s="201">
        <v>45546</v>
      </c>
      <c r="M190" s="195" t="s">
        <v>118</v>
      </c>
      <c r="N190" s="200"/>
      <c r="O190" s="196" t="s">
        <v>35</v>
      </c>
      <c r="P190" s="195"/>
      <c r="Q190" s="200">
        <v>1278.4000000000001</v>
      </c>
      <c r="R190" s="196">
        <v>45625</v>
      </c>
      <c r="S190" s="201">
        <v>45615</v>
      </c>
      <c r="T190" s="165" t="s">
        <v>363</v>
      </c>
    </row>
    <row r="191" spans="1:21" x14ac:dyDescent="0.3">
      <c r="A191" s="220" t="s">
        <v>498</v>
      </c>
      <c r="B191" s="195"/>
      <c r="C191" s="196">
        <v>45524</v>
      </c>
      <c r="D191" s="195" t="s">
        <v>499</v>
      </c>
      <c r="E191" s="195" t="s">
        <v>106</v>
      </c>
      <c r="F191" s="197">
        <v>45671</v>
      </c>
      <c r="G191" s="198">
        <v>287</v>
      </c>
      <c r="H191" s="199">
        <v>45528</v>
      </c>
      <c r="I191" s="200">
        <v>2568</v>
      </c>
      <c r="J191" s="200">
        <v>513.6</v>
      </c>
      <c r="K191" s="196" t="s">
        <v>504</v>
      </c>
      <c r="L191" s="201">
        <v>45538</v>
      </c>
      <c r="M191" s="195" t="s">
        <v>118</v>
      </c>
      <c r="N191" s="200"/>
      <c r="O191" s="196" t="s">
        <v>35</v>
      </c>
      <c r="P191" s="195"/>
      <c r="Q191" s="200">
        <v>2054.4</v>
      </c>
      <c r="R191" s="196">
        <v>45627</v>
      </c>
      <c r="S191" s="201">
        <v>45645</v>
      </c>
      <c r="T191" s="165" t="s">
        <v>363</v>
      </c>
    </row>
    <row r="192" spans="1:21" x14ac:dyDescent="0.3">
      <c r="A192" s="202" t="s">
        <v>500</v>
      </c>
      <c r="B192" s="203" t="s">
        <v>77</v>
      </c>
      <c r="C192" s="204">
        <v>45517</v>
      </c>
      <c r="D192" s="203" t="s">
        <v>682</v>
      </c>
      <c r="E192" s="203" t="s">
        <v>109</v>
      </c>
      <c r="F192" s="308">
        <v>45663</v>
      </c>
      <c r="G192" s="206">
        <v>288</v>
      </c>
      <c r="H192" s="207">
        <v>45532</v>
      </c>
      <c r="I192" s="208">
        <v>1726</v>
      </c>
      <c r="J192" s="208">
        <v>345.2</v>
      </c>
      <c r="K192" s="204">
        <v>45546</v>
      </c>
      <c r="L192" s="204"/>
      <c r="M192" s="203"/>
      <c r="N192" s="208"/>
      <c r="O192" s="204" t="s">
        <v>35</v>
      </c>
      <c r="P192" s="203"/>
      <c r="Q192" s="208">
        <v>1380.2</v>
      </c>
      <c r="R192" s="204">
        <v>45623</v>
      </c>
      <c r="S192" s="187">
        <v>45660</v>
      </c>
      <c r="T192" s="165" t="s">
        <v>363</v>
      </c>
    </row>
    <row r="193" spans="1:24" x14ac:dyDescent="0.3">
      <c r="A193" s="230" t="s">
        <v>165</v>
      </c>
      <c r="B193" s="195"/>
      <c r="C193" s="195"/>
      <c r="D193" s="195" t="s">
        <v>501</v>
      </c>
      <c r="E193" s="195" t="s">
        <v>120</v>
      </c>
      <c r="F193" s="198" t="s">
        <v>357</v>
      </c>
      <c r="G193" s="198">
        <v>289</v>
      </c>
      <c r="H193" s="199">
        <v>45532</v>
      </c>
      <c r="I193" s="200">
        <v>380</v>
      </c>
      <c r="J193" s="200"/>
      <c r="K193" s="196" t="s">
        <v>35</v>
      </c>
      <c r="L193" s="196"/>
      <c r="M193" s="195"/>
      <c r="N193" s="200"/>
      <c r="O193" s="196" t="s">
        <v>35</v>
      </c>
      <c r="P193" s="195"/>
      <c r="Q193" s="200">
        <v>380</v>
      </c>
      <c r="R193" s="195" t="s">
        <v>357</v>
      </c>
      <c r="S193" s="219"/>
    </row>
    <row r="194" spans="1:24" ht="15" thickBot="1" x14ac:dyDescent="0.35">
      <c r="A194" s="230" t="s">
        <v>502</v>
      </c>
      <c r="B194" s="195" t="s">
        <v>77</v>
      </c>
      <c r="C194" s="196">
        <v>45530</v>
      </c>
      <c r="D194" s="263" t="s">
        <v>503</v>
      </c>
      <c r="E194" s="195" t="s">
        <v>106</v>
      </c>
      <c r="F194" s="197">
        <v>45571</v>
      </c>
      <c r="G194" s="198">
        <v>290</v>
      </c>
      <c r="H194" s="199">
        <v>45534</v>
      </c>
      <c r="I194" s="200">
        <v>646</v>
      </c>
      <c r="J194" s="200"/>
      <c r="K194" s="196" t="s">
        <v>35</v>
      </c>
      <c r="L194" s="196"/>
      <c r="M194" s="195"/>
      <c r="N194" s="200"/>
      <c r="O194" s="196" t="s">
        <v>35</v>
      </c>
      <c r="P194" s="195"/>
      <c r="Q194" s="200">
        <v>646</v>
      </c>
      <c r="R194" s="196">
        <v>45540</v>
      </c>
      <c r="S194" s="201">
        <v>45540</v>
      </c>
      <c r="T194" s="165" t="s">
        <v>118</v>
      </c>
    </row>
    <row r="195" spans="1:24" ht="15" thickBot="1" x14ac:dyDescent="0.35">
      <c r="A195" s="220" t="s">
        <v>506</v>
      </c>
      <c r="B195" s="195"/>
      <c r="C195" s="196">
        <v>45540</v>
      </c>
      <c r="D195" s="195" t="s">
        <v>507</v>
      </c>
      <c r="E195" s="160" t="s">
        <v>120</v>
      </c>
      <c r="F195" s="160">
        <v>45548</v>
      </c>
      <c r="G195" s="150">
        <v>291</v>
      </c>
      <c r="H195" s="151">
        <v>45542</v>
      </c>
      <c r="I195" s="152">
        <v>9490</v>
      </c>
      <c r="J195" s="152"/>
      <c r="K195" s="153" t="s">
        <v>35</v>
      </c>
      <c r="L195" s="153"/>
      <c r="M195" s="149"/>
      <c r="N195" s="152"/>
      <c r="O195" s="153" t="s">
        <v>35</v>
      </c>
      <c r="P195" s="149"/>
      <c r="Q195" s="152">
        <v>9490</v>
      </c>
      <c r="R195" s="153">
        <v>45547</v>
      </c>
      <c r="S195" s="201">
        <v>45546</v>
      </c>
      <c r="T195" s="165" t="s">
        <v>118</v>
      </c>
    </row>
    <row r="196" spans="1:24" x14ac:dyDescent="0.3">
      <c r="A196" s="21" t="s">
        <v>508</v>
      </c>
      <c r="B196" s="195"/>
      <c r="C196" s="266">
        <v>45536</v>
      </c>
      <c r="D196" s="10" t="s">
        <v>509</v>
      </c>
      <c r="E196" s="195" t="s">
        <v>106</v>
      </c>
      <c r="F196" s="307">
        <v>45671</v>
      </c>
      <c r="G196" s="198">
        <v>292</v>
      </c>
      <c r="H196" s="199">
        <v>45542</v>
      </c>
      <c r="I196" s="200">
        <v>2090</v>
      </c>
      <c r="J196" s="200">
        <v>418</v>
      </c>
      <c r="K196" s="196">
        <v>45552</v>
      </c>
      <c r="L196" s="201">
        <v>45551</v>
      </c>
      <c r="M196" s="195" t="s">
        <v>118</v>
      </c>
      <c r="N196" s="200"/>
      <c r="O196" s="196" t="s">
        <v>35</v>
      </c>
      <c r="P196" s="195"/>
      <c r="Q196" s="200">
        <v>1672</v>
      </c>
      <c r="R196" s="196">
        <v>45635</v>
      </c>
      <c r="S196" s="201">
        <v>45635</v>
      </c>
      <c r="T196" s="165" t="s">
        <v>363</v>
      </c>
      <c r="U196" s="303" t="s">
        <v>652</v>
      </c>
    </row>
    <row r="197" spans="1:24" x14ac:dyDescent="0.3">
      <c r="A197" s="21" t="s">
        <v>510</v>
      </c>
      <c r="B197" s="195" t="s">
        <v>77</v>
      </c>
      <c r="C197" s="196">
        <v>45516</v>
      </c>
      <c r="D197" s="10" t="s">
        <v>511</v>
      </c>
      <c r="E197" s="195" t="s">
        <v>106</v>
      </c>
      <c r="F197" s="307">
        <v>45704</v>
      </c>
      <c r="G197" s="198">
        <v>293</v>
      </c>
      <c r="H197" s="199">
        <v>45542</v>
      </c>
      <c r="I197" s="200">
        <v>949</v>
      </c>
      <c r="J197" s="200">
        <v>189.8</v>
      </c>
      <c r="K197" s="196">
        <v>45552</v>
      </c>
      <c r="L197" s="196"/>
      <c r="M197" s="195"/>
      <c r="N197" s="200"/>
      <c r="O197" s="196" t="s">
        <v>35</v>
      </c>
      <c r="P197" s="195"/>
      <c r="Q197" s="200">
        <v>759.2</v>
      </c>
      <c r="R197" s="287">
        <v>45659</v>
      </c>
      <c r="S197" s="201">
        <v>45616</v>
      </c>
      <c r="T197" s="165" t="s">
        <v>363</v>
      </c>
    </row>
    <row r="198" spans="1:24" x14ac:dyDescent="0.3">
      <c r="A198" s="21" t="s">
        <v>514</v>
      </c>
      <c r="B198" s="195"/>
      <c r="C198" s="195"/>
      <c r="D198" s="10" t="s">
        <v>515</v>
      </c>
      <c r="E198" s="195" t="s">
        <v>106</v>
      </c>
      <c r="F198" s="197">
        <v>45392</v>
      </c>
      <c r="G198" s="198">
        <v>294</v>
      </c>
      <c r="H198" s="199">
        <v>45551</v>
      </c>
      <c r="I198" s="200">
        <v>205.86</v>
      </c>
      <c r="J198" s="200"/>
      <c r="K198" s="196" t="s">
        <v>35</v>
      </c>
      <c r="L198" s="196"/>
      <c r="M198" s="195"/>
      <c r="N198" s="200"/>
      <c r="O198" s="196" t="s">
        <v>35</v>
      </c>
      <c r="P198" s="195"/>
      <c r="Q198" s="200">
        <v>205.86</v>
      </c>
      <c r="R198" s="287">
        <v>45717</v>
      </c>
      <c r="S198" s="192">
        <v>45714</v>
      </c>
      <c r="T198" s="260" t="s">
        <v>363</v>
      </c>
    </row>
    <row r="199" spans="1:24" x14ac:dyDescent="0.3">
      <c r="A199" s="21" t="s">
        <v>516</v>
      </c>
      <c r="B199" s="195" t="s">
        <v>475</v>
      </c>
      <c r="C199" s="196">
        <v>45546</v>
      </c>
      <c r="D199" s="10" t="s">
        <v>517</v>
      </c>
      <c r="E199" s="195" t="s">
        <v>106</v>
      </c>
      <c r="F199" s="197">
        <v>45572</v>
      </c>
      <c r="G199" s="198">
        <v>295</v>
      </c>
      <c r="H199" s="199">
        <v>45551</v>
      </c>
      <c r="I199" s="200">
        <v>4315</v>
      </c>
      <c r="J199" s="200"/>
      <c r="K199" s="196" t="s">
        <v>35</v>
      </c>
      <c r="L199" s="196"/>
      <c r="M199" s="195"/>
      <c r="N199" s="200"/>
      <c r="O199" s="196" t="s">
        <v>35</v>
      </c>
      <c r="P199" s="195"/>
      <c r="Q199" s="200">
        <v>4315</v>
      </c>
      <c r="R199" s="195" t="s">
        <v>357</v>
      </c>
      <c r="S199" s="201">
        <v>45553</v>
      </c>
      <c r="T199" s="165" t="s">
        <v>118</v>
      </c>
    </row>
    <row r="200" spans="1:24" x14ac:dyDescent="0.3">
      <c r="A200" s="21" t="s">
        <v>518</v>
      </c>
      <c r="B200" s="195" t="s">
        <v>77</v>
      </c>
      <c r="C200" s="196">
        <v>45533</v>
      </c>
      <c r="D200" s="10" t="s">
        <v>519</v>
      </c>
      <c r="E200" s="195" t="s">
        <v>106</v>
      </c>
      <c r="F200" s="307">
        <v>45852</v>
      </c>
      <c r="G200" s="198">
        <v>296</v>
      </c>
      <c r="H200" s="199">
        <v>45551</v>
      </c>
      <c r="I200" s="200">
        <v>527</v>
      </c>
      <c r="J200" s="200">
        <v>105.4</v>
      </c>
      <c r="K200" s="196">
        <v>45565</v>
      </c>
      <c r="L200" s="201">
        <v>45561</v>
      </c>
      <c r="M200" s="195" t="s">
        <v>118</v>
      </c>
      <c r="N200" s="200"/>
      <c r="O200" s="196" t="s">
        <v>35</v>
      </c>
      <c r="P200" s="195"/>
      <c r="Q200" s="200">
        <v>421.6</v>
      </c>
      <c r="R200" s="287">
        <v>45810</v>
      </c>
      <c r="S200" s="201">
        <v>45790</v>
      </c>
      <c r="T200" s="260" t="s">
        <v>118</v>
      </c>
    </row>
    <row r="201" spans="1:24" x14ac:dyDescent="0.3">
      <c r="A201" s="334" t="s">
        <v>521</v>
      </c>
      <c r="B201" s="335" t="s">
        <v>77</v>
      </c>
      <c r="C201" s="330">
        <v>45548</v>
      </c>
      <c r="D201" s="334" t="s">
        <v>690</v>
      </c>
      <c r="E201" s="335" t="s">
        <v>106</v>
      </c>
      <c r="F201" s="336">
        <v>45297</v>
      </c>
      <c r="G201" s="337" t="s">
        <v>632</v>
      </c>
      <c r="H201" s="338">
        <v>45553</v>
      </c>
      <c r="I201" s="339">
        <v>550</v>
      </c>
      <c r="J201" s="339"/>
      <c r="K201" s="330" t="s">
        <v>35</v>
      </c>
      <c r="L201" s="330"/>
      <c r="M201" s="335"/>
      <c r="N201" s="339"/>
      <c r="O201" s="330" t="s">
        <v>35</v>
      </c>
      <c r="P201" s="335"/>
      <c r="Q201" s="339">
        <v>550</v>
      </c>
      <c r="R201" s="330">
        <v>45631</v>
      </c>
      <c r="S201" s="335"/>
      <c r="T201" s="335"/>
      <c r="U201" s="339"/>
      <c r="V201" s="335"/>
      <c r="W201" s="335"/>
      <c r="X201" s="335"/>
    </row>
    <row r="202" spans="1:24" x14ac:dyDescent="0.3">
      <c r="A202" s="21" t="s">
        <v>198</v>
      </c>
      <c r="B202" s="195"/>
      <c r="C202" s="195"/>
      <c r="D202" s="21" t="s">
        <v>522</v>
      </c>
      <c r="E202" s="195" t="s">
        <v>109</v>
      </c>
      <c r="F202" s="197">
        <v>45598</v>
      </c>
      <c r="G202" s="198">
        <v>298</v>
      </c>
      <c r="H202" s="199">
        <v>45553</v>
      </c>
      <c r="I202" s="200">
        <v>1343</v>
      </c>
      <c r="J202" s="200"/>
      <c r="K202" s="196" t="s">
        <v>35</v>
      </c>
      <c r="L202" s="196"/>
      <c r="M202" s="195"/>
      <c r="N202" s="200"/>
      <c r="O202" s="196" t="s">
        <v>35</v>
      </c>
      <c r="P202" s="195"/>
      <c r="Q202" s="200">
        <v>1343</v>
      </c>
      <c r="R202" s="196">
        <v>45561</v>
      </c>
      <c r="S202" s="201">
        <v>45561</v>
      </c>
      <c r="T202" s="165" t="s">
        <v>118</v>
      </c>
    </row>
    <row r="203" spans="1:24" x14ac:dyDescent="0.3">
      <c r="A203" s="21" t="s">
        <v>523</v>
      </c>
      <c r="B203" s="195" t="s">
        <v>77</v>
      </c>
      <c r="C203" s="196">
        <v>45549</v>
      </c>
      <c r="D203" s="22" t="s">
        <v>524</v>
      </c>
      <c r="E203" s="195" t="s">
        <v>109</v>
      </c>
      <c r="F203" s="197">
        <v>45582</v>
      </c>
      <c r="G203" s="198">
        <v>299</v>
      </c>
      <c r="H203" s="199">
        <v>45553</v>
      </c>
      <c r="I203" s="200">
        <v>1334</v>
      </c>
      <c r="J203" s="200"/>
      <c r="K203" s="196" t="s">
        <v>35</v>
      </c>
      <c r="L203" s="196"/>
      <c r="M203" s="195"/>
      <c r="N203" s="200"/>
      <c r="O203" s="196" t="s">
        <v>35</v>
      </c>
      <c r="P203" s="195"/>
      <c r="Q203" s="200">
        <v>533.6</v>
      </c>
      <c r="R203" s="195" t="s">
        <v>357</v>
      </c>
      <c r="S203" s="275">
        <v>1334</v>
      </c>
      <c r="T203" s="192">
        <v>45566</v>
      </c>
      <c r="U203" s="193" t="s">
        <v>564</v>
      </c>
    </row>
    <row r="204" spans="1:24" x14ac:dyDescent="0.3">
      <c r="A204" s="21" t="s">
        <v>528</v>
      </c>
      <c r="B204" s="195"/>
      <c r="C204" s="196">
        <v>45548</v>
      </c>
      <c r="D204" s="21" t="s">
        <v>529</v>
      </c>
      <c r="E204" s="195" t="s">
        <v>106</v>
      </c>
      <c r="F204" s="197">
        <v>45388</v>
      </c>
      <c r="G204" s="198">
        <v>300</v>
      </c>
      <c r="H204" s="199">
        <v>45557</v>
      </c>
      <c r="I204" s="200">
        <v>2569</v>
      </c>
      <c r="J204" s="200">
        <v>513.79999999999995</v>
      </c>
      <c r="K204" s="196">
        <v>45567</v>
      </c>
      <c r="L204" s="201">
        <v>45566</v>
      </c>
      <c r="M204" s="195" t="s">
        <v>118</v>
      </c>
      <c r="N204" s="200"/>
      <c r="O204" s="196" t="s">
        <v>35</v>
      </c>
      <c r="P204" s="195"/>
      <c r="Q204" s="200">
        <v>2055.1999999999998</v>
      </c>
      <c r="R204" s="287">
        <v>45717</v>
      </c>
      <c r="S204" s="201">
        <v>45628</v>
      </c>
      <c r="T204" s="165" t="s">
        <v>581</v>
      </c>
    </row>
    <row r="205" spans="1:24" x14ac:dyDescent="0.3">
      <c r="A205" s="233" t="s">
        <v>526</v>
      </c>
      <c r="B205" s="195"/>
      <c r="C205" s="196">
        <v>45554</v>
      </c>
      <c r="D205" s="10" t="s">
        <v>527</v>
      </c>
      <c r="E205" s="195" t="s">
        <v>106</v>
      </c>
      <c r="F205" s="197">
        <v>45340</v>
      </c>
      <c r="G205" s="198">
        <v>301</v>
      </c>
      <c r="H205" s="199">
        <v>45557</v>
      </c>
      <c r="I205" s="200">
        <v>1850</v>
      </c>
      <c r="J205" s="200">
        <v>370</v>
      </c>
      <c r="K205" s="196">
        <v>45567</v>
      </c>
      <c r="L205" s="201">
        <v>45566</v>
      </c>
      <c r="M205" s="195" t="s">
        <v>118</v>
      </c>
      <c r="N205" s="200"/>
      <c r="O205" s="196" t="s">
        <v>35</v>
      </c>
      <c r="P205" s="195"/>
      <c r="Q205" s="200">
        <v>1480</v>
      </c>
      <c r="R205" s="287">
        <v>45658</v>
      </c>
      <c r="S205" s="290">
        <v>45677</v>
      </c>
      <c r="T205" s="165" t="s">
        <v>363</v>
      </c>
    </row>
    <row r="206" spans="1:24" x14ac:dyDescent="0.3">
      <c r="A206" s="21" t="s">
        <v>530</v>
      </c>
      <c r="B206" s="195"/>
      <c r="C206" s="196">
        <v>45542</v>
      </c>
      <c r="D206" s="10" t="s">
        <v>531</v>
      </c>
      <c r="E206" s="195" t="s">
        <v>532</v>
      </c>
      <c r="F206" s="307">
        <v>45879</v>
      </c>
      <c r="G206" s="198">
        <v>302</v>
      </c>
      <c r="H206" s="199">
        <v>45557</v>
      </c>
      <c r="I206" s="200">
        <v>3290</v>
      </c>
      <c r="J206" s="200">
        <v>658</v>
      </c>
      <c r="K206" s="196">
        <v>45567</v>
      </c>
      <c r="L206" s="201">
        <v>45559</v>
      </c>
      <c r="M206" s="195" t="s">
        <v>118</v>
      </c>
      <c r="N206" s="200"/>
      <c r="O206" s="196" t="s">
        <v>35</v>
      </c>
      <c r="P206" s="195"/>
      <c r="Q206" s="200">
        <v>2632</v>
      </c>
      <c r="R206" s="287">
        <v>45839</v>
      </c>
      <c r="S206" s="201">
        <v>45834</v>
      </c>
      <c r="T206" s="260" t="s">
        <v>363</v>
      </c>
    </row>
    <row r="207" spans="1:24" x14ac:dyDescent="0.3">
      <c r="A207" s="21" t="s">
        <v>533</v>
      </c>
      <c r="B207" s="195"/>
      <c r="C207" s="196">
        <v>45531</v>
      </c>
      <c r="D207" s="10" t="s">
        <v>534</v>
      </c>
      <c r="E207" s="195" t="s">
        <v>532</v>
      </c>
      <c r="F207" s="197">
        <v>45571</v>
      </c>
      <c r="G207" s="198">
        <v>303</v>
      </c>
      <c r="H207" s="199">
        <v>45557</v>
      </c>
      <c r="I207" s="200">
        <v>4330</v>
      </c>
      <c r="J207" s="200"/>
      <c r="K207" s="196" t="s">
        <v>35</v>
      </c>
      <c r="L207" s="196"/>
      <c r="M207" s="195"/>
      <c r="N207" s="200"/>
      <c r="O207" s="196" t="s">
        <v>35</v>
      </c>
      <c r="P207" s="195"/>
      <c r="Q207" s="200">
        <v>4330</v>
      </c>
      <c r="R207" s="195" t="s">
        <v>357</v>
      </c>
      <c r="S207" s="201">
        <v>45561</v>
      </c>
      <c r="T207" s="165" t="s">
        <v>118</v>
      </c>
    </row>
    <row r="208" spans="1:24" x14ac:dyDescent="0.3">
      <c r="A208" s="21" t="s">
        <v>535</v>
      </c>
      <c r="B208" s="195" t="s">
        <v>77</v>
      </c>
      <c r="C208" s="196">
        <v>45545</v>
      </c>
      <c r="D208" s="277" t="s">
        <v>539</v>
      </c>
      <c r="E208" s="195" t="s">
        <v>532</v>
      </c>
      <c r="F208" s="198" t="s">
        <v>536</v>
      </c>
      <c r="G208" s="198">
        <v>304</v>
      </c>
      <c r="H208" s="199">
        <v>45557</v>
      </c>
      <c r="I208" s="200">
        <v>1507</v>
      </c>
      <c r="J208" s="200"/>
      <c r="K208" s="196" t="s">
        <v>35</v>
      </c>
      <c r="L208" s="196"/>
      <c r="M208" s="195"/>
      <c r="N208" s="200"/>
      <c r="O208" s="196" t="s">
        <v>35</v>
      </c>
      <c r="P208" s="195"/>
      <c r="Q208" s="200">
        <v>1507</v>
      </c>
      <c r="R208" s="195" t="s">
        <v>357</v>
      </c>
      <c r="S208" s="201">
        <v>45580</v>
      </c>
      <c r="T208" s="165" t="s">
        <v>118</v>
      </c>
    </row>
    <row r="209" spans="1:22" x14ac:dyDescent="0.3">
      <c r="A209" s="21" t="s">
        <v>537</v>
      </c>
      <c r="B209" s="195" t="s">
        <v>77</v>
      </c>
      <c r="C209" s="196">
        <v>45543</v>
      </c>
      <c r="D209" s="10" t="s">
        <v>538</v>
      </c>
      <c r="E209" s="195" t="s">
        <v>532</v>
      </c>
      <c r="F209" s="197">
        <v>45614</v>
      </c>
      <c r="G209" s="198">
        <v>305</v>
      </c>
      <c r="H209" s="199">
        <v>45557</v>
      </c>
      <c r="I209" s="200">
        <v>757</v>
      </c>
      <c r="J209" s="200"/>
      <c r="K209" s="196" t="s">
        <v>35</v>
      </c>
      <c r="L209" s="196"/>
      <c r="M209" s="195"/>
      <c r="N209" s="200"/>
      <c r="O209" s="196" t="s">
        <v>35</v>
      </c>
      <c r="P209" s="195"/>
      <c r="Q209" s="200">
        <v>757</v>
      </c>
      <c r="R209" s="300">
        <v>45566</v>
      </c>
    </row>
    <row r="210" spans="1:22" x14ac:dyDescent="0.3">
      <c r="A210" s="21" t="s">
        <v>540</v>
      </c>
      <c r="B210" s="195"/>
      <c r="C210" s="196">
        <v>45552</v>
      </c>
      <c r="D210" s="10" t="s">
        <v>541</v>
      </c>
      <c r="E210" s="195" t="s">
        <v>106</v>
      </c>
      <c r="F210" s="307">
        <v>45789</v>
      </c>
      <c r="G210" s="198">
        <v>306</v>
      </c>
      <c r="H210" s="199">
        <v>45559</v>
      </c>
      <c r="I210" s="200">
        <v>1220</v>
      </c>
      <c r="J210" s="200">
        <v>244</v>
      </c>
      <c r="K210" s="196">
        <v>45573</v>
      </c>
      <c r="L210" s="201">
        <v>45561</v>
      </c>
      <c r="M210" s="195" t="s">
        <v>118</v>
      </c>
      <c r="N210" s="200"/>
      <c r="O210" s="196" t="s">
        <v>35</v>
      </c>
      <c r="P210" s="195"/>
      <c r="Q210" s="200">
        <v>976</v>
      </c>
      <c r="R210" s="287">
        <v>45748</v>
      </c>
      <c r="S210" s="201">
        <v>45729</v>
      </c>
      <c r="T210" s="260" t="s">
        <v>118</v>
      </c>
    </row>
    <row r="211" spans="1:22" x14ac:dyDescent="0.3">
      <c r="A211" s="10" t="s">
        <v>545</v>
      </c>
      <c r="B211" s="195" t="s">
        <v>475</v>
      </c>
      <c r="C211" s="196">
        <v>45562</v>
      </c>
      <c r="D211" s="10" t="s">
        <v>546</v>
      </c>
      <c r="E211" s="195" t="s">
        <v>120</v>
      </c>
      <c r="F211" s="307">
        <v>45867</v>
      </c>
      <c r="G211" s="198">
        <v>307</v>
      </c>
      <c r="H211" s="199">
        <v>45566</v>
      </c>
      <c r="I211" s="200">
        <v>11100</v>
      </c>
      <c r="J211" s="200">
        <v>2220</v>
      </c>
      <c r="K211" s="196">
        <v>45566</v>
      </c>
      <c r="L211" s="201">
        <v>45569</v>
      </c>
      <c r="M211" s="195" t="s">
        <v>118</v>
      </c>
      <c r="N211" s="200">
        <v>2220</v>
      </c>
      <c r="O211" s="287">
        <v>45703</v>
      </c>
      <c r="P211" s="252">
        <v>45839</v>
      </c>
      <c r="Q211" s="200">
        <v>6660</v>
      </c>
      <c r="R211" s="287">
        <v>45809</v>
      </c>
      <c r="S211" s="368">
        <v>5000</v>
      </c>
      <c r="T211" s="368">
        <v>1700</v>
      </c>
      <c r="U211" s="200">
        <f>+Q211-S211-T211</f>
        <v>-40</v>
      </c>
      <c r="V211" s="219" t="s">
        <v>699</v>
      </c>
    </row>
    <row r="212" spans="1:22" x14ac:dyDescent="0.3">
      <c r="A212" s="21" t="s">
        <v>547</v>
      </c>
      <c r="B212" s="195"/>
      <c r="C212" s="195"/>
      <c r="D212" s="195" t="s">
        <v>548</v>
      </c>
      <c r="E212" s="195" t="s">
        <v>106</v>
      </c>
      <c r="F212" s="197">
        <v>45619</v>
      </c>
      <c r="G212" s="198">
        <v>308</v>
      </c>
      <c r="H212" s="199">
        <v>45566</v>
      </c>
      <c r="I212" s="200">
        <v>542</v>
      </c>
      <c r="J212" s="200"/>
      <c r="K212" s="196" t="s">
        <v>35</v>
      </c>
      <c r="L212" s="196"/>
      <c r="M212" s="195"/>
      <c r="N212" s="200"/>
      <c r="O212" s="196" t="s">
        <v>35</v>
      </c>
      <c r="P212" s="195"/>
      <c r="Q212" s="200">
        <v>542</v>
      </c>
      <c r="R212" s="196">
        <v>45569</v>
      </c>
      <c r="S212" s="201">
        <v>45569</v>
      </c>
      <c r="T212" s="165" t="s">
        <v>118</v>
      </c>
    </row>
    <row r="213" spans="1:22" x14ac:dyDescent="0.3">
      <c r="A213" s="21" t="s">
        <v>387</v>
      </c>
      <c r="B213" s="195" t="s">
        <v>475</v>
      </c>
      <c r="C213" s="195" t="s">
        <v>553</v>
      </c>
      <c r="D213" s="10" t="s">
        <v>554</v>
      </c>
      <c r="E213" s="195" t="s">
        <v>120</v>
      </c>
      <c r="F213" s="197">
        <v>45646</v>
      </c>
      <c r="G213" s="198">
        <v>309</v>
      </c>
      <c r="H213" s="199">
        <v>45573</v>
      </c>
      <c r="I213" s="200">
        <v>1620</v>
      </c>
      <c r="J213" s="200">
        <v>324</v>
      </c>
      <c r="K213" s="196">
        <v>45587</v>
      </c>
      <c r="L213" s="201">
        <v>45575</v>
      </c>
      <c r="M213" s="195"/>
      <c r="N213" s="200"/>
      <c r="O213" s="196" t="s">
        <v>35</v>
      </c>
      <c r="P213" s="195"/>
      <c r="Q213" s="200">
        <v>1296</v>
      </c>
      <c r="R213" s="196">
        <v>45608</v>
      </c>
      <c r="S213" s="201">
        <v>45607</v>
      </c>
      <c r="T213" s="165" t="s">
        <v>363</v>
      </c>
    </row>
    <row r="214" spans="1:22" x14ac:dyDescent="0.3">
      <c r="A214" s="278" t="s">
        <v>555</v>
      </c>
      <c r="B214" s="195"/>
      <c r="C214" s="196">
        <v>45571</v>
      </c>
      <c r="D214" s="10" t="s">
        <v>556</v>
      </c>
      <c r="E214" s="195" t="s">
        <v>109</v>
      </c>
      <c r="F214" s="197">
        <v>45600</v>
      </c>
      <c r="G214" s="198">
        <v>310</v>
      </c>
      <c r="H214" s="199">
        <v>45575</v>
      </c>
      <c r="I214" s="200">
        <v>1230</v>
      </c>
      <c r="J214" s="200"/>
      <c r="K214" s="196" t="s">
        <v>35</v>
      </c>
      <c r="L214" s="196"/>
      <c r="M214" s="195"/>
      <c r="N214" s="200"/>
      <c r="O214" s="196" t="s">
        <v>35</v>
      </c>
      <c r="P214" s="195"/>
      <c r="Q214" s="200">
        <v>432</v>
      </c>
      <c r="R214" s="196">
        <v>45581</v>
      </c>
      <c r="S214" s="201">
        <v>45582</v>
      </c>
      <c r="T214" s="165" t="s">
        <v>118</v>
      </c>
    </row>
    <row r="215" spans="1:22" x14ac:dyDescent="0.3">
      <c r="A215" s="10" t="s">
        <v>557</v>
      </c>
      <c r="B215" s="195"/>
      <c r="C215" s="196">
        <v>45569</v>
      </c>
      <c r="D215" s="10" t="s">
        <v>558</v>
      </c>
      <c r="E215" s="195" t="s">
        <v>106</v>
      </c>
      <c r="F215" s="197">
        <v>45487</v>
      </c>
      <c r="G215" s="198">
        <v>311</v>
      </c>
      <c r="H215" s="199">
        <v>45575</v>
      </c>
      <c r="I215" s="200">
        <v>1260</v>
      </c>
      <c r="J215" s="200">
        <v>252</v>
      </c>
      <c r="K215" s="196">
        <v>45587</v>
      </c>
      <c r="L215" s="201">
        <v>45580</v>
      </c>
      <c r="M215" s="344" t="s">
        <v>118</v>
      </c>
      <c r="N215" s="200"/>
      <c r="O215" s="196" t="s">
        <v>35</v>
      </c>
      <c r="P215" s="195"/>
      <c r="Q215" s="200">
        <v>1008</v>
      </c>
      <c r="R215" s="196">
        <v>45444</v>
      </c>
      <c r="S215" s="219" t="s">
        <v>697</v>
      </c>
      <c r="T215" s="260" t="s">
        <v>118</v>
      </c>
    </row>
    <row r="216" spans="1:22" x14ac:dyDescent="0.3">
      <c r="A216" s="10" t="s">
        <v>559</v>
      </c>
      <c r="B216" s="195"/>
      <c r="C216" s="196">
        <v>45570</v>
      </c>
      <c r="D216" s="10" t="s">
        <v>560</v>
      </c>
      <c r="E216" s="195" t="s">
        <v>106</v>
      </c>
      <c r="F216" s="197">
        <v>45633</v>
      </c>
      <c r="G216" s="198">
        <v>312</v>
      </c>
      <c r="H216" s="199">
        <v>45575</v>
      </c>
      <c r="I216" s="200">
        <v>3460</v>
      </c>
      <c r="J216" s="200">
        <v>692</v>
      </c>
      <c r="K216" s="196">
        <v>45587</v>
      </c>
      <c r="L216" s="201">
        <v>45583</v>
      </c>
      <c r="M216" s="195" t="s">
        <v>118</v>
      </c>
      <c r="N216" s="200"/>
      <c r="O216" s="196" t="s">
        <v>35</v>
      </c>
      <c r="P216" s="195"/>
      <c r="Q216" s="200">
        <v>2768</v>
      </c>
      <c r="R216" s="196">
        <v>45597</v>
      </c>
      <c r="S216" s="201">
        <v>45588</v>
      </c>
      <c r="T216" s="165" t="s">
        <v>118</v>
      </c>
    </row>
    <row r="217" spans="1:22" x14ac:dyDescent="0.3">
      <c r="A217" s="332" t="s">
        <v>296</v>
      </c>
      <c r="B217" s="186"/>
      <c r="C217" s="187">
        <v>45572</v>
      </c>
      <c r="D217" s="333" t="s">
        <v>561</v>
      </c>
      <c r="E217" s="172" t="s">
        <v>106</v>
      </c>
      <c r="F217" s="188">
        <v>45633</v>
      </c>
      <c r="G217" s="189">
        <v>313</v>
      </c>
      <c r="H217" s="190">
        <v>45575</v>
      </c>
      <c r="I217" s="191">
        <v>190</v>
      </c>
      <c r="J217" s="191"/>
      <c r="K217" s="187" t="s">
        <v>35</v>
      </c>
      <c r="L217" s="187"/>
      <c r="M217" s="186"/>
      <c r="N217" s="191"/>
      <c r="O217" s="187" t="s">
        <v>35</v>
      </c>
      <c r="P217" s="186"/>
      <c r="Q217" s="191">
        <v>190</v>
      </c>
      <c r="R217" s="187">
        <v>45597</v>
      </c>
      <c r="S217" s="165" t="s">
        <v>689</v>
      </c>
    </row>
    <row r="218" spans="1:22" x14ac:dyDescent="0.3">
      <c r="A218" s="120" t="s">
        <v>567</v>
      </c>
      <c r="B218" s="203" t="s">
        <v>77</v>
      </c>
      <c r="C218" s="204">
        <v>45571</v>
      </c>
      <c r="D218" s="120" t="s">
        <v>568</v>
      </c>
      <c r="E218" s="203" t="s">
        <v>106</v>
      </c>
      <c r="F218" s="308">
        <v>45670</v>
      </c>
      <c r="G218" s="206">
        <v>314</v>
      </c>
      <c r="H218" s="207">
        <v>45580</v>
      </c>
      <c r="I218" s="208">
        <v>730</v>
      </c>
      <c r="J218" s="208">
        <v>146</v>
      </c>
      <c r="K218" s="204">
        <v>45594</v>
      </c>
      <c r="L218" s="204"/>
      <c r="M218" s="203" t="s">
        <v>668</v>
      </c>
      <c r="N218" s="208"/>
      <c r="O218" s="204" t="s">
        <v>35</v>
      </c>
      <c r="P218" s="203"/>
      <c r="Q218" s="208">
        <v>684</v>
      </c>
      <c r="R218" s="204">
        <v>45632</v>
      </c>
      <c r="S218" s="201">
        <v>45649</v>
      </c>
      <c r="T218" s="260" t="s">
        <v>363</v>
      </c>
    </row>
    <row r="219" spans="1:22" x14ac:dyDescent="0.3">
      <c r="A219" s="120" t="s">
        <v>569</v>
      </c>
      <c r="B219" s="203" t="s">
        <v>77</v>
      </c>
      <c r="C219" s="204">
        <v>45571</v>
      </c>
      <c r="D219" s="120" t="s">
        <v>568</v>
      </c>
      <c r="E219" s="203" t="s">
        <v>106</v>
      </c>
      <c r="F219" s="308">
        <v>45670</v>
      </c>
      <c r="G219" s="206">
        <v>315</v>
      </c>
      <c r="H219" s="207">
        <v>45580</v>
      </c>
      <c r="I219" s="208">
        <v>730</v>
      </c>
      <c r="J219" s="208">
        <v>146</v>
      </c>
      <c r="K219" s="204">
        <v>45594</v>
      </c>
      <c r="L219" s="204"/>
      <c r="M219" s="203" t="s">
        <v>668</v>
      </c>
      <c r="N219" s="208"/>
      <c r="O219" s="204" t="s">
        <v>35</v>
      </c>
      <c r="P219" s="203"/>
      <c r="Q219" s="208">
        <v>684</v>
      </c>
      <c r="R219" s="204">
        <v>45632</v>
      </c>
      <c r="S219" s="201">
        <v>45649</v>
      </c>
      <c r="T219" s="260" t="s">
        <v>363</v>
      </c>
    </row>
    <row r="220" spans="1:22" x14ac:dyDescent="0.3">
      <c r="A220" s="278" t="s">
        <v>555</v>
      </c>
      <c r="B220" s="195"/>
      <c r="C220" s="195"/>
      <c r="D220" s="279" t="s">
        <v>570</v>
      </c>
      <c r="E220" s="279" t="s">
        <v>109</v>
      </c>
      <c r="F220" s="197">
        <v>45599</v>
      </c>
      <c r="G220" s="198">
        <v>316</v>
      </c>
      <c r="H220" s="199">
        <v>45583</v>
      </c>
      <c r="I220" s="200">
        <v>28</v>
      </c>
      <c r="J220" s="200"/>
      <c r="K220" s="196" t="s">
        <v>35</v>
      </c>
      <c r="L220" s="196"/>
      <c r="M220" s="195"/>
      <c r="N220" s="200"/>
      <c r="O220" s="196" t="s">
        <v>35</v>
      </c>
      <c r="P220" s="195"/>
      <c r="Q220" s="200">
        <v>28</v>
      </c>
      <c r="R220" s="195" t="s">
        <v>357</v>
      </c>
      <c r="S220" s="201">
        <v>45586</v>
      </c>
      <c r="T220" s="165" t="s">
        <v>118</v>
      </c>
    </row>
    <row r="221" spans="1:22" x14ac:dyDescent="0.3">
      <c r="A221" s="21" t="s">
        <v>571</v>
      </c>
      <c r="B221" s="195"/>
      <c r="C221" s="196">
        <v>45580</v>
      </c>
      <c r="D221" s="10" t="s">
        <v>572</v>
      </c>
      <c r="E221" s="279" t="s">
        <v>106</v>
      </c>
      <c r="F221" s="307">
        <v>45670</v>
      </c>
      <c r="G221" s="198">
        <v>317</v>
      </c>
      <c r="H221" s="199">
        <v>45583</v>
      </c>
      <c r="I221" s="200">
        <v>2330</v>
      </c>
      <c r="J221" s="200">
        <v>466</v>
      </c>
      <c r="K221" s="196">
        <v>45594</v>
      </c>
      <c r="L221" s="201">
        <v>45586</v>
      </c>
      <c r="M221" s="195" t="s">
        <v>118</v>
      </c>
      <c r="N221" s="200"/>
      <c r="O221" s="196" t="s">
        <v>35</v>
      </c>
      <c r="P221" s="195"/>
      <c r="Q221" s="200">
        <v>1864</v>
      </c>
      <c r="R221" s="196">
        <v>45632</v>
      </c>
      <c r="S221" s="201">
        <v>45614</v>
      </c>
      <c r="T221" s="165" t="s">
        <v>363</v>
      </c>
    </row>
    <row r="222" spans="1:22" x14ac:dyDescent="0.3">
      <c r="A222" s="21" t="s">
        <v>573</v>
      </c>
      <c r="B222" s="195"/>
      <c r="C222" s="196">
        <v>45581</v>
      </c>
      <c r="D222" s="195" t="s">
        <v>574</v>
      </c>
      <c r="E222" s="279" t="s">
        <v>106</v>
      </c>
      <c r="F222" s="307">
        <v>45670</v>
      </c>
      <c r="G222" s="198">
        <v>318</v>
      </c>
      <c r="H222" s="199">
        <v>45583</v>
      </c>
      <c r="I222" s="200">
        <v>1550</v>
      </c>
      <c r="J222" s="200">
        <v>310</v>
      </c>
      <c r="K222" s="196">
        <v>45594</v>
      </c>
      <c r="L222" s="196"/>
      <c r="M222" s="195"/>
      <c r="N222" s="200"/>
      <c r="O222" s="196" t="s">
        <v>310</v>
      </c>
      <c r="P222" s="195"/>
      <c r="Q222" s="200">
        <v>1240</v>
      </c>
      <c r="R222" s="196">
        <v>45632</v>
      </c>
      <c r="S222" s="201">
        <v>45622</v>
      </c>
      <c r="T222" s="165" t="s">
        <v>363</v>
      </c>
    </row>
    <row r="223" spans="1:22" x14ac:dyDescent="0.3">
      <c r="A223" s="21" t="s">
        <v>241</v>
      </c>
      <c r="B223" s="195"/>
      <c r="C223" s="195"/>
      <c r="D223" s="195" t="s">
        <v>575</v>
      </c>
      <c r="E223" s="279" t="s">
        <v>106</v>
      </c>
      <c r="F223" s="197">
        <v>45633</v>
      </c>
      <c r="G223" s="198">
        <v>319</v>
      </c>
      <c r="H223" s="199">
        <v>45583</v>
      </c>
      <c r="I223" s="200">
        <v>190</v>
      </c>
      <c r="J223" s="200"/>
      <c r="K223" s="196" t="s">
        <v>35</v>
      </c>
      <c r="L223" s="196"/>
      <c r="M223" s="195"/>
      <c r="N223" s="200"/>
      <c r="O223" s="196" t="s">
        <v>35</v>
      </c>
      <c r="P223" s="195"/>
      <c r="Q223" s="200">
        <v>190</v>
      </c>
      <c r="R223" s="195" t="s">
        <v>357</v>
      </c>
      <c r="S223" s="201">
        <v>45586</v>
      </c>
      <c r="T223" s="165" t="s">
        <v>118</v>
      </c>
    </row>
    <row r="224" spans="1:22" x14ac:dyDescent="0.3">
      <c r="A224" s="21" t="s">
        <v>576</v>
      </c>
      <c r="B224" s="195" t="s">
        <v>77</v>
      </c>
      <c r="C224" s="196">
        <v>45582</v>
      </c>
      <c r="D224" s="10" t="s">
        <v>577</v>
      </c>
      <c r="E224" s="195" t="s">
        <v>109</v>
      </c>
      <c r="F224" s="197">
        <v>45604</v>
      </c>
      <c r="G224" s="198">
        <v>320</v>
      </c>
      <c r="H224" s="199">
        <v>45583</v>
      </c>
      <c r="I224" s="200">
        <v>654</v>
      </c>
      <c r="J224" s="200"/>
      <c r="K224" s="196" t="s">
        <v>35</v>
      </c>
      <c r="L224" s="196"/>
      <c r="M224" s="195"/>
      <c r="N224" s="200"/>
      <c r="O224" s="196" t="s">
        <v>35</v>
      </c>
      <c r="P224" s="195"/>
      <c r="Q224" s="200">
        <v>261.60000000000002</v>
      </c>
      <c r="R224" s="196">
        <v>45594</v>
      </c>
      <c r="S224" s="201">
        <v>45586</v>
      </c>
      <c r="T224" s="165" t="s">
        <v>118</v>
      </c>
    </row>
    <row r="225" spans="1:20" x14ac:dyDescent="0.3">
      <c r="A225" s="11" t="s">
        <v>296</v>
      </c>
      <c r="D225" s="165" t="s">
        <v>575</v>
      </c>
      <c r="E225" s="260" t="s">
        <v>106</v>
      </c>
      <c r="F225" s="222">
        <v>45633</v>
      </c>
      <c r="G225" s="223">
        <v>321</v>
      </c>
      <c r="H225" s="224">
        <v>45583</v>
      </c>
      <c r="I225" s="193">
        <v>190</v>
      </c>
      <c r="K225" s="192" t="s">
        <v>35</v>
      </c>
      <c r="O225" s="192" t="s">
        <v>35</v>
      </c>
      <c r="Q225" s="193">
        <v>190</v>
      </c>
    </row>
    <row r="226" spans="1:20" x14ac:dyDescent="0.3">
      <c r="A226" s="21" t="s">
        <v>585</v>
      </c>
      <c r="B226" s="195" t="s">
        <v>77</v>
      </c>
      <c r="C226" s="196">
        <v>45586</v>
      </c>
      <c r="D226" s="10" t="s">
        <v>586</v>
      </c>
      <c r="E226" s="195" t="s">
        <v>106</v>
      </c>
      <c r="F226" s="307">
        <v>45675</v>
      </c>
      <c r="G226" s="198">
        <v>322</v>
      </c>
      <c r="H226" s="199">
        <v>45591</v>
      </c>
      <c r="I226" s="200">
        <v>1251</v>
      </c>
      <c r="J226" s="200">
        <v>251.2</v>
      </c>
      <c r="K226" s="196">
        <v>45602</v>
      </c>
      <c r="L226" s="196"/>
      <c r="M226" s="195"/>
      <c r="N226" s="200"/>
      <c r="O226" s="196" t="s">
        <v>35</v>
      </c>
      <c r="P226" s="195"/>
      <c r="Q226" s="200">
        <v>1000.8</v>
      </c>
      <c r="R226" s="196">
        <v>45632</v>
      </c>
      <c r="S226" s="290">
        <v>45630</v>
      </c>
      <c r="T226" s="260" t="s">
        <v>118</v>
      </c>
    </row>
    <row r="227" spans="1:20" x14ac:dyDescent="0.3">
      <c r="A227" s="10" t="s">
        <v>588</v>
      </c>
      <c r="B227" s="195"/>
      <c r="C227" s="196">
        <v>45525</v>
      </c>
      <c r="D227" s="10" t="s">
        <v>589</v>
      </c>
      <c r="E227" s="195" t="s">
        <v>120</v>
      </c>
      <c r="F227" s="307">
        <v>45867</v>
      </c>
      <c r="G227" s="198">
        <v>323</v>
      </c>
      <c r="H227" s="199">
        <v>45593</v>
      </c>
      <c r="I227" s="200">
        <v>10550</v>
      </c>
      <c r="J227" s="200">
        <v>2110</v>
      </c>
      <c r="K227" s="196">
        <v>45607</v>
      </c>
      <c r="L227" s="290">
        <v>45595</v>
      </c>
      <c r="M227" s="195" t="s">
        <v>118</v>
      </c>
      <c r="N227" s="200">
        <v>2110</v>
      </c>
      <c r="O227" s="327">
        <v>45703</v>
      </c>
      <c r="P227" s="195" t="s">
        <v>118</v>
      </c>
      <c r="Q227" s="200">
        <v>6330</v>
      </c>
      <c r="R227" s="287">
        <v>45809</v>
      </c>
      <c r="S227" s="201">
        <v>45805</v>
      </c>
      <c r="T227" s="260" t="s">
        <v>118</v>
      </c>
    </row>
    <row r="228" spans="1:20" x14ac:dyDescent="0.3">
      <c r="A228" s="11" t="s">
        <v>590</v>
      </c>
      <c r="D228" t="s">
        <v>591</v>
      </c>
      <c r="E228" s="260" t="s">
        <v>106</v>
      </c>
      <c r="F228" s="222">
        <v>45627</v>
      </c>
      <c r="G228" s="223">
        <v>324</v>
      </c>
      <c r="H228" s="224">
        <v>45593</v>
      </c>
      <c r="I228" s="193">
        <v>190</v>
      </c>
      <c r="K228" s="192" t="s">
        <v>35</v>
      </c>
      <c r="O228" s="192" t="s">
        <v>35</v>
      </c>
      <c r="Q228" s="193">
        <v>190</v>
      </c>
      <c r="R228" s="165" t="s">
        <v>357</v>
      </c>
    </row>
    <row r="229" spans="1:20" x14ac:dyDescent="0.3">
      <c r="A229" s="264" t="s">
        <v>594</v>
      </c>
      <c r="B229" s="186"/>
      <c r="C229" s="187">
        <v>45591</v>
      </c>
      <c r="D229" s="186" t="s">
        <v>595</v>
      </c>
      <c r="E229" s="172" t="s">
        <v>181</v>
      </c>
      <c r="F229" s="311">
        <v>45732</v>
      </c>
      <c r="G229" s="189">
        <v>325</v>
      </c>
      <c r="H229" s="190">
        <v>45595</v>
      </c>
      <c r="I229" s="191">
        <v>1990</v>
      </c>
      <c r="J229" s="191">
        <v>398</v>
      </c>
      <c r="K229" s="187">
        <v>45609</v>
      </c>
      <c r="L229" s="187"/>
      <c r="M229" s="186"/>
      <c r="N229" s="191"/>
      <c r="O229" s="187" t="s">
        <v>35</v>
      </c>
      <c r="P229" s="186"/>
      <c r="Q229" s="191">
        <v>1592</v>
      </c>
      <c r="R229" s="331">
        <v>45691</v>
      </c>
      <c r="S229" s="165" t="s">
        <v>689</v>
      </c>
    </row>
    <row r="230" spans="1:20" x14ac:dyDescent="0.3">
      <c r="A230" s="233" t="s">
        <v>598</v>
      </c>
      <c r="B230" s="195" t="s">
        <v>77</v>
      </c>
      <c r="C230" s="196">
        <v>45590</v>
      </c>
      <c r="D230" s="195" t="s">
        <v>461</v>
      </c>
      <c r="E230" s="195" t="s">
        <v>109</v>
      </c>
      <c r="F230" s="307">
        <v>45830</v>
      </c>
      <c r="G230" s="198">
        <v>326</v>
      </c>
      <c r="H230" s="199">
        <v>45595</v>
      </c>
      <c r="I230" s="200">
        <v>669</v>
      </c>
      <c r="J230" s="200"/>
      <c r="K230" s="196" t="s">
        <v>35</v>
      </c>
      <c r="L230" s="196"/>
      <c r="M230" s="195"/>
      <c r="N230" s="200"/>
      <c r="O230" s="196" t="s">
        <v>35</v>
      </c>
      <c r="P230" s="195"/>
      <c r="Q230" s="200">
        <v>267.60000000000002</v>
      </c>
      <c r="R230" s="196">
        <v>45609</v>
      </c>
      <c r="S230" s="201">
        <v>45610</v>
      </c>
      <c r="T230" s="165" t="s">
        <v>118</v>
      </c>
    </row>
    <row r="231" spans="1:20" x14ac:dyDescent="0.3">
      <c r="A231" s="233" t="s">
        <v>599</v>
      </c>
      <c r="B231" s="195"/>
      <c r="C231" s="195"/>
      <c r="D231" s="195" t="s">
        <v>600</v>
      </c>
      <c r="E231" s="195" t="s">
        <v>106</v>
      </c>
      <c r="F231" s="197">
        <v>45628</v>
      </c>
      <c r="G231" s="198">
        <v>327</v>
      </c>
      <c r="H231" s="199">
        <v>45595</v>
      </c>
      <c r="I231" s="200">
        <v>190</v>
      </c>
      <c r="J231" s="200"/>
      <c r="K231" s="196" t="s">
        <v>35</v>
      </c>
      <c r="L231" s="196"/>
      <c r="M231" s="195"/>
      <c r="N231" s="200"/>
      <c r="O231" s="196" t="s">
        <v>35</v>
      </c>
      <c r="P231" s="195"/>
      <c r="Q231" s="200">
        <v>190</v>
      </c>
      <c r="R231" s="195" t="s">
        <v>357</v>
      </c>
      <c r="S231" s="201">
        <v>45608</v>
      </c>
      <c r="T231" s="165" t="s">
        <v>581</v>
      </c>
    </row>
    <row r="232" spans="1:20" x14ac:dyDescent="0.3">
      <c r="A232" s="21" t="s">
        <v>601</v>
      </c>
      <c r="B232" s="195" t="s">
        <v>77</v>
      </c>
      <c r="C232" s="196">
        <v>45582</v>
      </c>
      <c r="D232" s="277" t="s">
        <v>602</v>
      </c>
      <c r="E232" s="195" t="s">
        <v>109</v>
      </c>
      <c r="F232" s="197">
        <v>45614</v>
      </c>
      <c r="G232" s="198">
        <v>328</v>
      </c>
      <c r="H232" s="199">
        <v>45598</v>
      </c>
      <c r="I232" s="200">
        <v>1007</v>
      </c>
      <c r="J232" s="200"/>
      <c r="K232" s="196" t="s">
        <v>35</v>
      </c>
      <c r="L232" s="196"/>
      <c r="M232" s="195"/>
      <c r="N232" s="200"/>
      <c r="O232" s="196" t="s">
        <v>35</v>
      </c>
      <c r="P232" s="195"/>
      <c r="Q232" s="200">
        <v>1007</v>
      </c>
      <c r="R232" s="195" t="s">
        <v>357</v>
      </c>
      <c r="S232" s="201">
        <v>45601</v>
      </c>
      <c r="T232" s="165" t="s">
        <v>363</v>
      </c>
    </row>
    <row r="233" spans="1:20" x14ac:dyDescent="0.3">
      <c r="A233" s="298" t="s">
        <v>603</v>
      </c>
      <c r="B233" s="177" t="s">
        <v>77</v>
      </c>
      <c r="C233" s="286">
        <v>45594</v>
      </c>
      <c r="D233" s="299" t="s">
        <v>604</v>
      </c>
      <c r="E233" s="177" t="s">
        <v>106</v>
      </c>
      <c r="F233" s="293">
        <v>45612</v>
      </c>
      <c r="G233" s="294">
        <v>329</v>
      </c>
      <c r="H233" s="295">
        <v>45598</v>
      </c>
      <c r="I233" s="296">
        <v>1128</v>
      </c>
      <c r="J233" s="296"/>
      <c r="K233" s="286" t="s">
        <v>35</v>
      </c>
      <c r="L233" s="286"/>
      <c r="M233" s="177"/>
      <c r="N233" s="296"/>
      <c r="O233" s="286" t="s">
        <v>35</v>
      </c>
      <c r="P233" s="177"/>
      <c r="Q233" s="296">
        <v>1128</v>
      </c>
      <c r="R233" s="177" t="s">
        <v>357</v>
      </c>
      <c r="S233" s="177" t="s">
        <v>610</v>
      </c>
      <c r="T233" s="165" t="s">
        <v>363</v>
      </c>
    </row>
    <row r="234" spans="1:20" x14ac:dyDescent="0.3">
      <c r="A234" s="21" t="s">
        <v>605</v>
      </c>
      <c r="B234" s="195"/>
      <c r="C234" s="6">
        <v>45596</v>
      </c>
      <c r="D234" s="93" t="s">
        <v>606</v>
      </c>
      <c r="E234" s="195" t="s">
        <v>181</v>
      </c>
      <c r="F234" s="307">
        <v>45733</v>
      </c>
      <c r="G234" s="198">
        <v>330</v>
      </c>
      <c r="H234" s="199">
        <v>45598</v>
      </c>
      <c r="I234" s="200">
        <v>874</v>
      </c>
      <c r="J234" s="200"/>
      <c r="K234" s="196" t="s">
        <v>35</v>
      </c>
      <c r="L234" s="196"/>
      <c r="M234" s="195"/>
      <c r="N234" s="200"/>
      <c r="O234" s="196" t="s">
        <v>35</v>
      </c>
      <c r="P234" s="195"/>
      <c r="Q234" s="200">
        <v>350</v>
      </c>
      <c r="R234" s="196">
        <v>45610</v>
      </c>
      <c r="S234" s="201">
        <v>45602</v>
      </c>
    </row>
    <row r="235" spans="1:20" x14ac:dyDescent="0.3">
      <c r="A235" s="11" t="s">
        <v>172</v>
      </c>
      <c r="D235" t="s">
        <v>609</v>
      </c>
      <c r="E235" s="260" t="s">
        <v>106</v>
      </c>
      <c r="F235" s="222">
        <v>45628</v>
      </c>
      <c r="G235" s="223">
        <v>331</v>
      </c>
      <c r="H235" s="224">
        <v>45600</v>
      </c>
      <c r="I235" s="193">
        <v>380</v>
      </c>
      <c r="K235" s="192" t="s">
        <v>35</v>
      </c>
      <c r="O235" s="192" t="s">
        <v>35</v>
      </c>
      <c r="Q235" s="193">
        <v>380</v>
      </c>
      <c r="R235" s="260" t="s">
        <v>357</v>
      </c>
    </row>
    <row r="236" spans="1:20" x14ac:dyDescent="0.3">
      <c r="A236" s="21" t="s">
        <v>518</v>
      </c>
      <c r="B236" s="195"/>
      <c r="C236" s="196">
        <v>45597</v>
      </c>
      <c r="D236" s="10" t="s">
        <v>607</v>
      </c>
      <c r="E236" s="195" t="s">
        <v>106</v>
      </c>
      <c r="F236" s="307">
        <v>45865</v>
      </c>
      <c r="G236" s="198">
        <v>332</v>
      </c>
      <c r="H236" s="199">
        <v>45600</v>
      </c>
      <c r="I236" s="200">
        <v>490</v>
      </c>
      <c r="J236" s="200"/>
      <c r="K236" s="196" t="s">
        <v>35</v>
      </c>
      <c r="L236" s="196"/>
      <c r="M236" s="195"/>
      <c r="N236" s="200"/>
      <c r="O236" s="196" t="s">
        <v>35</v>
      </c>
      <c r="P236" s="195"/>
      <c r="Q236" s="200">
        <v>490</v>
      </c>
      <c r="R236" s="287">
        <v>45810</v>
      </c>
      <c r="S236" s="201">
        <v>45790</v>
      </c>
      <c r="T236" s="260" t="s">
        <v>118</v>
      </c>
    </row>
    <row r="237" spans="1:20" x14ac:dyDescent="0.3">
      <c r="A237" s="21" t="s">
        <v>585</v>
      </c>
      <c r="B237" s="195"/>
      <c r="C237" s="195"/>
      <c r="D237" s="277" t="s">
        <v>608</v>
      </c>
      <c r="E237" s="195" t="s">
        <v>106</v>
      </c>
      <c r="F237" s="307">
        <v>45675</v>
      </c>
      <c r="G237" s="198">
        <v>333</v>
      </c>
      <c r="H237" s="199">
        <v>45600</v>
      </c>
      <c r="I237" s="200">
        <v>377</v>
      </c>
      <c r="J237" s="200"/>
      <c r="K237" s="196" t="s">
        <v>35</v>
      </c>
      <c r="L237" s="196"/>
      <c r="M237" s="195"/>
      <c r="N237" s="200"/>
      <c r="O237" s="196" t="s">
        <v>35</v>
      </c>
      <c r="P237" s="195"/>
      <c r="Q237" s="200">
        <v>377</v>
      </c>
      <c r="R237" s="196">
        <v>45632</v>
      </c>
      <c r="S237" s="297" t="s">
        <v>649</v>
      </c>
      <c r="T237" s="165" t="s">
        <v>363</v>
      </c>
    </row>
    <row r="238" spans="1:20" x14ac:dyDescent="0.3">
      <c r="A238" s="233" t="s">
        <v>611</v>
      </c>
      <c r="B238" s="195"/>
      <c r="C238" s="196">
        <v>45589</v>
      </c>
      <c r="D238" s="10" t="s">
        <v>612</v>
      </c>
      <c r="E238" s="195" t="s">
        <v>106</v>
      </c>
      <c r="F238" s="307">
        <v>45872</v>
      </c>
      <c r="G238" s="198">
        <v>334</v>
      </c>
      <c r="H238" s="199">
        <v>45602</v>
      </c>
      <c r="I238" s="200">
        <v>8260</v>
      </c>
      <c r="J238" s="200">
        <v>1652</v>
      </c>
      <c r="K238" s="196">
        <v>45616</v>
      </c>
      <c r="L238" s="201">
        <v>45609</v>
      </c>
      <c r="M238" s="195" t="s">
        <v>118</v>
      </c>
      <c r="N238" s="200"/>
      <c r="O238" s="196" t="s">
        <v>35</v>
      </c>
      <c r="P238" s="195"/>
      <c r="Q238" s="200">
        <v>6608</v>
      </c>
      <c r="R238" s="287">
        <v>45834</v>
      </c>
      <c r="S238" s="290">
        <v>45821</v>
      </c>
      <c r="T238" s="260" t="s">
        <v>698</v>
      </c>
    </row>
    <row r="239" spans="1:20" x14ac:dyDescent="0.3">
      <c r="A239" s="233" t="s">
        <v>614</v>
      </c>
      <c r="B239" s="195"/>
      <c r="C239" s="195"/>
      <c r="D239" s="195" t="s">
        <v>615</v>
      </c>
      <c r="E239" s="195" t="s">
        <v>120</v>
      </c>
      <c r="F239" s="307">
        <v>45867</v>
      </c>
      <c r="G239" s="198">
        <v>335</v>
      </c>
      <c r="H239" s="199">
        <v>45602</v>
      </c>
      <c r="I239" s="200">
        <v>10845</v>
      </c>
      <c r="J239" s="200">
        <v>2169</v>
      </c>
      <c r="K239" s="196">
        <v>45615</v>
      </c>
      <c r="L239" s="201">
        <v>45614</v>
      </c>
      <c r="M239" s="195" t="s">
        <v>118</v>
      </c>
      <c r="N239" s="200">
        <v>2169</v>
      </c>
      <c r="O239" s="287">
        <v>45703</v>
      </c>
      <c r="P239" s="196">
        <v>45747</v>
      </c>
      <c r="Q239" s="200">
        <v>6507</v>
      </c>
      <c r="R239" s="287">
        <v>45809</v>
      </c>
      <c r="S239" s="201">
        <v>45827</v>
      </c>
      <c r="T239" s="165" t="s">
        <v>363</v>
      </c>
    </row>
    <row r="240" spans="1:20" x14ac:dyDescent="0.3">
      <c r="A240" s="11" t="s">
        <v>616</v>
      </c>
      <c r="C240" s="192">
        <v>45602</v>
      </c>
      <c r="D240" t="s">
        <v>617</v>
      </c>
      <c r="E240" s="260" t="s">
        <v>109</v>
      </c>
      <c r="F240" s="222">
        <v>45610</v>
      </c>
      <c r="G240" s="223">
        <v>336</v>
      </c>
      <c r="H240" s="224">
        <v>45607</v>
      </c>
      <c r="I240" s="193">
        <v>1120</v>
      </c>
      <c r="K240" s="192" t="s">
        <v>35</v>
      </c>
      <c r="O240" s="192" t="s">
        <v>35</v>
      </c>
      <c r="Q240" s="193">
        <v>1120</v>
      </c>
      <c r="R240" s="165" t="s">
        <v>357</v>
      </c>
    </row>
    <row r="241" spans="1:23" x14ac:dyDescent="0.3">
      <c r="A241" s="10" t="s">
        <v>296</v>
      </c>
      <c r="B241" s="195"/>
      <c r="C241" s="196">
        <v>45601</v>
      </c>
      <c r="D241" s="10" t="s">
        <v>618</v>
      </c>
      <c r="E241" s="195" t="s">
        <v>120</v>
      </c>
      <c r="F241" s="198" t="s">
        <v>619</v>
      </c>
      <c r="G241" s="198">
        <v>337</v>
      </c>
      <c r="H241" s="199">
        <v>45607</v>
      </c>
      <c r="I241" s="200">
        <v>5600</v>
      </c>
      <c r="J241" s="200"/>
      <c r="K241" s="196" t="s">
        <v>35</v>
      </c>
      <c r="L241" s="196"/>
      <c r="M241" s="195"/>
      <c r="N241" s="200"/>
      <c r="O241" s="196" t="s">
        <v>35</v>
      </c>
      <c r="P241" s="195"/>
      <c r="Q241" s="200">
        <v>5600</v>
      </c>
      <c r="R241" s="196">
        <v>45621</v>
      </c>
      <c r="S241" s="201">
        <v>45621</v>
      </c>
      <c r="T241" s="165" t="s">
        <v>363</v>
      </c>
    </row>
    <row r="242" spans="1:23" x14ac:dyDescent="0.3">
      <c r="A242" s="21" t="s">
        <v>622</v>
      </c>
      <c r="B242" s="195"/>
      <c r="C242" s="196">
        <v>45607</v>
      </c>
      <c r="D242" s="10" t="s">
        <v>623</v>
      </c>
      <c r="E242" s="195" t="s">
        <v>106</v>
      </c>
      <c r="F242" s="307">
        <v>45902</v>
      </c>
      <c r="G242" s="198">
        <v>338</v>
      </c>
      <c r="H242" s="199">
        <v>45611</v>
      </c>
      <c r="I242" s="200">
        <v>1350</v>
      </c>
      <c r="J242" s="200">
        <v>270</v>
      </c>
      <c r="K242" s="196">
        <v>45624</v>
      </c>
      <c r="L242" s="201">
        <v>45631</v>
      </c>
      <c r="M242" s="203" t="s">
        <v>118</v>
      </c>
      <c r="N242" s="208"/>
      <c r="O242" s="204" t="s">
        <v>35</v>
      </c>
      <c r="P242" s="203"/>
      <c r="Q242" s="208">
        <v>1080</v>
      </c>
      <c r="R242" s="352">
        <v>45658</v>
      </c>
      <c r="S242" s="201">
        <v>45639</v>
      </c>
      <c r="T242" s="260" t="s">
        <v>363</v>
      </c>
    </row>
    <row r="243" spans="1:23" x14ac:dyDescent="0.3">
      <c r="A243" s="226" t="s">
        <v>624</v>
      </c>
      <c r="B243" s="203"/>
      <c r="C243" s="204">
        <v>45606</v>
      </c>
      <c r="D243" s="203" t="s">
        <v>625</v>
      </c>
      <c r="E243" s="203" t="s">
        <v>106</v>
      </c>
      <c r="F243" s="308">
        <v>45687</v>
      </c>
      <c r="G243" s="206">
        <v>339</v>
      </c>
      <c r="H243" s="207">
        <v>45611</v>
      </c>
      <c r="I243" s="208">
        <v>813</v>
      </c>
      <c r="J243" s="208">
        <v>162.6</v>
      </c>
      <c r="K243" s="204">
        <v>45625</v>
      </c>
      <c r="L243" s="204"/>
      <c r="M243" s="203" t="s">
        <v>668</v>
      </c>
      <c r="N243" s="208"/>
      <c r="O243" s="204" t="s">
        <v>35</v>
      </c>
      <c r="P243" s="203"/>
      <c r="Q243" s="208">
        <v>650.4</v>
      </c>
      <c r="R243" s="204">
        <v>45641</v>
      </c>
      <c r="S243" s="290">
        <v>45649</v>
      </c>
      <c r="T243" s="165" t="s">
        <v>363</v>
      </c>
    </row>
    <row r="244" spans="1:23" x14ac:dyDescent="0.3">
      <c r="A244" s="233" t="s">
        <v>165</v>
      </c>
      <c r="B244" s="195"/>
      <c r="C244" s="195"/>
      <c r="D244" s="195" t="s">
        <v>626</v>
      </c>
      <c r="E244" s="195" t="s">
        <v>120</v>
      </c>
      <c r="F244" s="198" t="s">
        <v>619</v>
      </c>
      <c r="G244" s="198">
        <v>340</v>
      </c>
      <c r="H244" s="199">
        <v>45611</v>
      </c>
      <c r="I244" s="200">
        <v>890</v>
      </c>
      <c r="J244" s="200"/>
      <c r="K244" s="196" t="s">
        <v>35</v>
      </c>
      <c r="L244" s="196"/>
      <c r="M244" s="195"/>
      <c r="N244" s="200"/>
      <c r="O244" s="196" t="s">
        <v>35</v>
      </c>
      <c r="P244" s="195"/>
      <c r="Q244" s="200">
        <v>890</v>
      </c>
      <c r="R244" s="195" t="s">
        <v>357</v>
      </c>
      <c r="S244" s="201">
        <v>45614</v>
      </c>
      <c r="T244" s="165" t="s">
        <v>363</v>
      </c>
    </row>
    <row r="245" spans="1:23" x14ac:dyDescent="0.3">
      <c r="A245" s="10" t="s">
        <v>387</v>
      </c>
      <c r="B245" s="195"/>
      <c r="C245" s="195"/>
      <c r="D245" s="10" t="s">
        <v>627</v>
      </c>
      <c r="E245" s="195" t="s">
        <v>120</v>
      </c>
      <c r="F245" s="198" t="s">
        <v>619</v>
      </c>
      <c r="G245" s="198">
        <v>341</v>
      </c>
      <c r="H245" s="199">
        <v>45611</v>
      </c>
      <c r="I245" s="200">
        <v>4550</v>
      </c>
      <c r="J245" s="200"/>
      <c r="K245" s="196" t="s">
        <v>35</v>
      </c>
      <c r="L245" s="196"/>
      <c r="M245" s="195"/>
      <c r="N245" s="200"/>
      <c r="O245" s="196" t="s">
        <v>35</v>
      </c>
      <c r="P245" s="195"/>
      <c r="Q245" s="200">
        <v>4450</v>
      </c>
      <c r="R245" s="196">
        <v>45627</v>
      </c>
      <c r="S245" s="201">
        <v>45628</v>
      </c>
      <c r="T245" s="165" t="s">
        <v>363</v>
      </c>
    </row>
    <row r="246" spans="1:23" x14ac:dyDescent="0.3">
      <c r="A246" s="21" t="s">
        <v>206</v>
      </c>
      <c r="B246" s="195"/>
      <c r="C246" s="195"/>
      <c r="D246" s="10" t="s">
        <v>628</v>
      </c>
      <c r="E246" s="195" t="s">
        <v>120</v>
      </c>
      <c r="F246" s="198" t="s">
        <v>619</v>
      </c>
      <c r="G246" s="198">
        <v>342</v>
      </c>
      <c r="H246" s="199">
        <v>45616</v>
      </c>
      <c r="I246" s="200">
        <v>190</v>
      </c>
      <c r="J246" s="200"/>
      <c r="K246" s="196" t="s">
        <v>35</v>
      </c>
      <c r="L246" s="196"/>
      <c r="M246" s="195"/>
      <c r="N246" s="200"/>
      <c r="O246" s="196" t="s">
        <v>35</v>
      </c>
      <c r="P246" s="195"/>
      <c r="Q246" s="200">
        <v>190</v>
      </c>
      <c r="R246" s="195" t="s">
        <v>357</v>
      </c>
      <c r="S246" s="201">
        <v>45618</v>
      </c>
      <c r="T246" s="165" t="s">
        <v>363</v>
      </c>
    </row>
    <row r="247" spans="1:23" x14ac:dyDescent="0.3">
      <c r="A247" s="21" t="s">
        <v>518</v>
      </c>
      <c r="B247" s="195"/>
      <c r="C247" s="195"/>
      <c r="D247" s="10" t="s">
        <v>629</v>
      </c>
      <c r="E247" s="195" t="s">
        <v>106</v>
      </c>
      <c r="F247" s="307">
        <v>45871</v>
      </c>
      <c r="G247" s="198" t="s">
        <v>644</v>
      </c>
      <c r="H247" s="199">
        <v>45619</v>
      </c>
      <c r="I247" s="200">
        <f>330-30</f>
        <v>300</v>
      </c>
      <c r="J247" s="200"/>
      <c r="K247" s="196" t="s">
        <v>35</v>
      </c>
      <c r="L247" s="196"/>
      <c r="M247" s="195"/>
      <c r="N247" s="200"/>
      <c r="O247" s="196" t="s">
        <v>35</v>
      </c>
      <c r="P247" s="195"/>
      <c r="Q247" s="200">
        <f>330-30</f>
        <v>300</v>
      </c>
      <c r="R247" s="287">
        <v>45838</v>
      </c>
      <c r="S247" s="195" t="s">
        <v>645</v>
      </c>
      <c r="T247" s="195"/>
      <c r="U247" s="200"/>
      <c r="V247" s="201">
        <v>45831</v>
      </c>
      <c r="W247" s="165" t="s">
        <v>118</v>
      </c>
    </row>
    <row r="248" spans="1:23" x14ac:dyDescent="0.3">
      <c r="A248" s="21" t="s">
        <v>630</v>
      </c>
      <c r="B248" s="195"/>
      <c r="C248" s="196">
        <v>45616</v>
      </c>
      <c r="D248" s="10" t="s">
        <v>631</v>
      </c>
      <c r="E248" s="195" t="s">
        <v>106</v>
      </c>
      <c r="F248" s="307">
        <v>45956</v>
      </c>
      <c r="G248" s="198">
        <v>344</v>
      </c>
      <c r="H248" s="199">
        <v>45623</v>
      </c>
      <c r="I248" s="200">
        <v>6349</v>
      </c>
      <c r="J248" s="200">
        <v>1269.8</v>
      </c>
      <c r="K248" s="196">
        <v>45636</v>
      </c>
      <c r="L248" s="201">
        <v>45635</v>
      </c>
      <c r="M248" s="195" t="s">
        <v>118</v>
      </c>
      <c r="N248" s="200"/>
      <c r="O248" s="196" t="s">
        <v>35</v>
      </c>
      <c r="P248" s="195"/>
      <c r="Q248" s="200">
        <v>5079.2</v>
      </c>
      <c r="R248" s="287">
        <v>45915</v>
      </c>
      <c r="S248" s="201">
        <v>45912</v>
      </c>
      <c r="T248" s="260" t="s">
        <v>118</v>
      </c>
    </row>
    <row r="249" spans="1:23" x14ac:dyDescent="0.3">
      <c r="A249" s="233" t="s">
        <v>633</v>
      </c>
      <c r="B249" s="195"/>
      <c r="C249" s="196">
        <v>45620</v>
      </c>
      <c r="D249" s="195" t="s">
        <v>634</v>
      </c>
      <c r="E249" s="195" t="s">
        <v>106</v>
      </c>
      <c r="F249" s="197">
        <v>45329</v>
      </c>
      <c r="G249" s="198">
        <v>345</v>
      </c>
      <c r="H249" s="199">
        <v>45621</v>
      </c>
      <c r="I249" s="200">
        <v>1770</v>
      </c>
      <c r="J249" s="200">
        <v>354</v>
      </c>
      <c r="K249" s="196">
        <v>45634</v>
      </c>
      <c r="L249" s="201">
        <v>45625</v>
      </c>
      <c r="M249" s="195" t="s">
        <v>118</v>
      </c>
      <c r="N249" s="200"/>
      <c r="O249" s="196" t="s">
        <v>35</v>
      </c>
      <c r="P249" s="195"/>
      <c r="Q249" s="200">
        <v>1460</v>
      </c>
      <c r="R249" s="287">
        <v>45659</v>
      </c>
      <c r="S249" s="200"/>
      <c r="T249" s="196">
        <v>45656</v>
      </c>
    </row>
    <row r="250" spans="1:23" x14ac:dyDescent="0.3">
      <c r="A250" s="233" t="s">
        <v>636</v>
      </c>
      <c r="B250" s="195"/>
      <c r="C250" s="195"/>
      <c r="D250" s="195" t="s">
        <v>635</v>
      </c>
      <c r="E250" s="195" t="s">
        <v>106</v>
      </c>
      <c r="F250" s="197">
        <v>45644</v>
      </c>
      <c r="G250" s="198">
        <v>346</v>
      </c>
      <c r="H250" s="199">
        <v>45625</v>
      </c>
      <c r="I250" s="200">
        <v>370</v>
      </c>
      <c r="J250" s="200"/>
      <c r="K250" s="196" t="s">
        <v>35</v>
      </c>
      <c r="L250" s="196"/>
      <c r="M250" s="195"/>
      <c r="N250" s="200"/>
      <c r="O250" s="196" t="s">
        <v>35</v>
      </c>
      <c r="P250" s="195"/>
      <c r="Q250" s="200">
        <v>370</v>
      </c>
      <c r="R250" s="195" t="s">
        <v>357</v>
      </c>
      <c r="S250" s="201">
        <v>45631</v>
      </c>
      <c r="T250" s="165" t="s">
        <v>118</v>
      </c>
    </row>
    <row r="251" spans="1:23" x14ac:dyDescent="0.3">
      <c r="A251" s="233" t="s">
        <v>637</v>
      </c>
      <c r="B251" s="195"/>
      <c r="C251" s="196">
        <v>45624</v>
      </c>
      <c r="D251" s="195" t="s">
        <v>638</v>
      </c>
      <c r="E251" s="195" t="s">
        <v>106</v>
      </c>
      <c r="F251" s="307">
        <v>45838</v>
      </c>
      <c r="G251" s="198">
        <v>347</v>
      </c>
      <c r="H251" s="199">
        <v>45625</v>
      </c>
      <c r="I251" s="200">
        <v>680</v>
      </c>
      <c r="J251" s="200">
        <v>136</v>
      </c>
      <c r="K251" s="196">
        <v>45639</v>
      </c>
      <c r="L251" s="201">
        <v>45643</v>
      </c>
      <c r="M251" s="195" t="s">
        <v>118</v>
      </c>
      <c r="N251" s="200"/>
      <c r="O251" s="196" t="s">
        <v>35</v>
      </c>
      <c r="P251" s="195"/>
      <c r="Q251" s="200">
        <v>544</v>
      </c>
      <c r="R251" s="287">
        <v>45796</v>
      </c>
      <c r="S251" s="300">
        <v>45800</v>
      </c>
      <c r="T251" s="165" t="s">
        <v>118</v>
      </c>
    </row>
    <row r="252" spans="1:23" x14ac:dyDescent="0.3">
      <c r="A252" s="234" t="s">
        <v>639</v>
      </c>
      <c r="C252" s="192">
        <v>45625</v>
      </c>
      <c r="D252" s="260" t="s">
        <v>640</v>
      </c>
      <c r="E252" s="260" t="s">
        <v>109</v>
      </c>
      <c r="F252" s="222">
        <v>45852</v>
      </c>
      <c r="G252" s="223">
        <v>348</v>
      </c>
      <c r="H252" s="224">
        <v>45629</v>
      </c>
      <c r="I252" s="193">
        <v>3470</v>
      </c>
      <c r="J252" s="193">
        <v>694</v>
      </c>
      <c r="K252" s="192">
        <v>45643</v>
      </c>
      <c r="O252" s="192" t="s">
        <v>35</v>
      </c>
      <c r="Q252" s="193">
        <v>2776</v>
      </c>
      <c r="R252" s="209">
        <v>45811</v>
      </c>
    </row>
    <row r="253" spans="1:23" ht="15" customHeight="1" x14ac:dyDescent="0.3">
      <c r="A253" s="21" t="s">
        <v>241</v>
      </c>
      <c r="B253" s="195"/>
      <c r="C253" s="195"/>
      <c r="D253" s="377" t="s">
        <v>641</v>
      </c>
      <c r="E253" s="301" t="s">
        <v>120</v>
      </c>
      <c r="F253" s="198"/>
      <c r="G253" s="198">
        <v>349</v>
      </c>
      <c r="H253" s="199">
        <v>45629</v>
      </c>
      <c r="I253" s="200">
        <v>247.13</v>
      </c>
      <c r="J253" s="200"/>
      <c r="K253" s="196"/>
      <c r="L253" s="196"/>
      <c r="M253" s="195"/>
      <c r="N253" s="200"/>
      <c r="O253" s="196" t="s">
        <v>35</v>
      </c>
      <c r="P253" s="195"/>
      <c r="Q253" s="200">
        <v>247.13</v>
      </c>
      <c r="R253" s="195" t="s">
        <v>357</v>
      </c>
      <c r="S253" s="201">
        <v>45635</v>
      </c>
      <c r="T253" s="165" t="s">
        <v>118</v>
      </c>
    </row>
    <row r="254" spans="1:23" x14ac:dyDescent="0.3">
      <c r="A254" s="21" t="s">
        <v>296</v>
      </c>
      <c r="B254" s="195"/>
      <c r="C254" s="195"/>
      <c r="D254" s="377"/>
      <c r="E254" s="301" t="s">
        <v>120</v>
      </c>
      <c r="F254" s="198"/>
      <c r="G254" s="198">
        <v>350</v>
      </c>
      <c r="H254" s="199">
        <v>45629</v>
      </c>
      <c r="I254" s="200">
        <v>247.13</v>
      </c>
      <c r="J254" s="200"/>
      <c r="K254" s="196"/>
      <c r="L254" s="196"/>
      <c r="M254" s="195"/>
      <c r="N254" s="200"/>
      <c r="O254" s="196" t="s">
        <v>35</v>
      </c>
      <c r="P254" s="195"/>
      <c r="Q254" s="200">
        <v>247.13</v>
      </c>
      <c r="R254" s="195" t="s">
        <v>357</v>
      </c>
      <c r="S254" s="290">
        <v>45642</v>
      </c>
      <c r="T254" s="165" t="s">
        <v>118</v>
      </c>
    </row>
    <row r="255" spans="1:23" x14ac:dyDescent="0.3">
      <c r="A255" s="21" t="s">
        <v>163</v>
      </c>
      <c r="B255" s="195"/>
      <c r="C255" s="195"/>
      <c r="D255" s="195" t="s">
        <v>642</v>
      </c>
      <c r="E255" s="195" t="s">
        <v>106</v>
      </c>
      <c r="F255" s="198"/>
      <c r="G255" s="198">
        <v>351</v>
      </c>
      <c r="H255" s="199">
        <v>45630</v>
      </c>
      <c r="I255" s="200">
        <v>190</v>
      </c>
      <c r="J255" s="200"/>
      <c r="K255" s="196" t="s">
        <v>35</v>
      </c>
      <c r="L255" s="196"/>
      <c r="M255" s="195"/>
      <c r="N255" s="200"/>
      <c r="O255" s="196" t="s">
        <v>35</v>
      </c>
      <c r="P255" s="195"/>
      <c r="Q255" s="200">
        <v>190</v>
      </c>
      <c r="R255" s="195" t="s">
        <v>357</v>
      </c>
      <c r="S255" s="201">
        <v>45632</v>
      </c>
      <c r="T255" s="165" t="s">
        <v>118</v>
      </c>
    </row>
    <row r="256" spans="1:23" x14ac:dyDescent="0.3">
      <c r="A256" s="332" t="s">
        <v>637</v>
      </c>
      <c r="B256" s="186"/>
      <c r="C256" s="186"/>
      <c r="D256" s="333" t="s">
        <v>643</v>
      </c>
      <c r="E256" s="172" t="s">
        <v>106</v>
      </c>
      <c r="F256" s="189"/>
      <c r="G256" s="189">
        <v>352</v>
      </c>
      <c r="H256" s="190">
        <v>45630</v>
      </c>
      <c r="I256" s="191">
        <v>90</v>
      </c>
      <c r="J256" s="191"/>
      <c r="K256" s="187" t="s">
        <v>35</v>
      </c>
      <c r="L256" s="187"/>
      <c r="M256" s="186"/>
      <c r="N256" s="191"/>
      <c r="O256" s="187" t="s">
        <v>35</v>
      </c>
      <c r="P256" s="186"/>
      <c r="Q256" s="191">
        <v>90</v>
      </c>
      <c r="R256" s="331">
        <v>45658</v>
      </c>
      <c r="S256" s="165" t="s">
        <v>689</v>
      </c>
    </row>
    <row r="257" spans="1:20" x14ac:dyDescent="0.3">
      <c r="A257" s="21" t="s">
        <v>647</v>
      </c>
      <c r="B257" s="195"/>
      <c r="C257" s="196">
        <v>45614</v>
      </c>
      <c r="D257" s="195" t="s">
        <v>648</v>
      </c>
      <c r="E257" s="195" t="s">
        <v>120</v>
      </c>
      <c r="F257" s="307">
        <v>45760</v>
      </c>
      <c r="G257" s="198">
        <v>353</v>
      </c>
      <c r="H257" s="199">
        <v>45638</v>
      </c>
      <c r="I257" s="200">
        <v>544</v>
      </c>
      <c r="J257" s="200">
        <v>108.8</v>
      </c>
      <c r="K257" s="196">
        <v>45646</v>
      </c>
      <c r="L257" s="201">
        <v>45646</v>
      </c>
      <c r="M257" s="195" t="s">
        <v>118</v>
      </c>
      <c r="N257" s="200"/>
      <c r="O257" s="196" t="s">
        <v>35</v>
      </c>
      <c r="P257" s="195"/>
      <c r="Q257" s="200">
        <v>435.2</v>
      </c>
      <c r="R257" s="287">
        <v>45726</v>
      </c>
      <c r="S257" s="192">
        <v>45723</v>
      </c>
      <c r="T257" s="260" t="s">
        <v>118</v>
      </c>
    </row>
    <row r="258" spans="1:20" x14ac:dyDescent="0.3">
      <c r="A258" s="233" t="s">
        <v>655</v>
      </c>
      <c r="B258" s="195" t="s">
        <v>77</v>
      </c>
      <c r="C258" s="196">
        <v>45608</v>
      </c>
      <c r="D258" s="195" t="s">
        <v>656</v>
      </c>
      <c r="E258" s="195" t="s">
        <v>106</v>
      </c>
      <c r="F258" s="307">
        <v>45689</v>
      </c>
      <c r="G258" s="198">
        <v>354</v>
      </c>
      <c r="H258" s="199">
        <v>45642</v>
      </c>
      <c r="I258" s="200">
        <v>1291</v>
      </c>
      <c r="J258" s="200"/>
      <c r="K258" s="196" t="s">
        <v>35</v>
      </c>
      <c r="L258" s="196"/>
      <c r="M258" s="195"/>
      <c r="N258" s="200"/>
      <c r="O258" s="196" t="s">
        <v>35</v>
      </c>
      <c r="P258" s="195"/>
      <c r="Q258" s="200">
        <v>1291</v>
      </c>
      <c r="R258" s="287">
        <v>45659</v>
      </c>
      <c r="S258" s="201">
        <v>45660</v>
      </c>
      <c r="T258" s="260" t="s">
        <v>363</v>
      </c>
    </row>
    <row r="259" spans="1:20" x14ac:dyDescent="0.3">
      <c r="A259" s="233" t="s">
        <v>657</v>
      </c>
      <c r="B259" s="195"/>
      <c r="C259" s="196">
        <v>45641</v>
      </c>
      <c r="D259" s="195" t="s">
        <v>658</v>
      </c>
      <c r="E259" s="195" t="s">
        <v>106</v>
      </c>
      <c r="F259" s="307">
        <v>45697</v>
      </c>
      <c r="G259" s="198">
        <v>355</v>
      </c>
      <c r="H259" s="199">
        <v>45642</v>
      </c>
      <c r="I259" s="200">
        <v>780</v>
      </c>
      <c r="J259" s="200"/>
      <c r="K259" s="196" t="s">
        <v>35</v>
      </c>
      <c r="L259" s="196"/>
      <c r="M259" s="195"/>
      <c r="N259" s="200"/>
      <c r="O259" s="196" t="s">
        <v>35</v>
      </c>
      <c r="P259" s="195"/>
      <c r="Q259" s="200">
        <v>780</v>
      </c>
      <c r="R259" s="287">
        <v>45659</v>
      </c>
      <c r="S259" s="290">
        <v>45646</v>
      </c>
      <c r="T259" s="165" t="s">
        <v>363</v>
      </c>
    </row>
    <row r="260" spans="1:20" x14ac:dyDescent="0.3">
      <c r="A260" s="233" t="s">
        <v>659</v>
      </c>
      <c r="B260" s="195"/>
      <c r="C260" s="196">
        <v>45636</v>
      </c>
      <c r="D260" s="195" t="s">
        <v>660</v>
      </c>
      <c r="E260" s="195" t="s">
        <v>106</v>
      </c>
      <c r="F260" s="307">
        <v>45718</v>
      </c>
      <c r="G260" s="198">
        <v>356</v>
      </c>
      <c r="H260" s="199">
        <v>45642</v>
      </c>
      <c r="I260" s="200">
        <v>3240</v>
      </c>
      <c r="J260" s="200">
        <v>648</v>
      </c>
      <c r="K260" s="287">
        <v>45659</v>
      </c>
      <c r="L260" s="201">
        <v>45650</v>
      </c>
      <c r="M260" s="195" t="s">
        <v>118</v>
      </c>
      <c r="N260" s="200"/>
      <c r="O260" s="196" t="s">
        <v>35</v>
      </c>
      <c r="P260" s="195"/>
      <c r="Q260" s="200">
        <v>2592</v>
      </c>
      <c r="R260" s="287">
        <v>45689</v>
      </c>
      <c r="S260" s="201">
        <v>45688</v>
      </c>
    </row>
    <row r="261" spans="1:20" x14ac:dyDescent="0.3">
      <c r="A261" s="233" t="s">
        <v>661</v>
      </c>
      <c r="B261" s="195"/>
      <c r="C261" s="195"/>
      <c r="D261" s="195" t="s">
        <v>662</v>
      </c>
      <c r="E261" s="195" t="s">
        <v>120</v>
      </c>
      <c r="F261" s="310">
        <v>2026</v>
      </c>
      <c r="G261" s="198">
        <v>357</v>
      </c>
      <c r="H261" s="199"/>
      <c r="I261" s="200">
        <v>9900</v>
      </c>
      <c r="J261" s="200">
        <v>1980</v>
      </c>
      <c r="K261" s="287">
        <v>45689</v>
      </c>
      <c r="L261" s="196"/>
      <c r="M261" s="195"/>
      <c r="N261" s="200">
        <v>1980</v>
      </c>
      <c r="O261" s="287">
        <v>45809</v>
      </c>
      <c r="P261" s="195"/>
      <c r="Q261" s="200">
        <v>5940</v>
      </c>
      <c r="R261" s="380">
        <v>46357</v>
      </c>
      <c r="S261" s="201">
        <v>45973</v>
      </c>
      <c r="T261" s="260" t="s">
        <v>363</v>
      </c>
    </row>
    <row r="262" spans="1:20" x14ac:dyDescent="0.3">
      <c r="A262" s="233" t="s">
        <v>206</v>
      </c>
      <c r="B262" s="195"/>
      <c r="C262" s="195"/>
      <c r="D262" s="195" t="s">
        <v>663</v>
      </c>
      <c r="E262" s="195" t="s">
        <v>106</v>
      </c>
      <c r="F262" s="198" t="s">
        <v>664</v>
      </c>
      <c r="G262" s="198">
        <v>358</v>
      </c>
      <c r="H262" s="199">
        <v>45645</v>
      </c>
      <c r="I262" s="200">
        <v>55</v>
      </c>
      <c r="J262" s="200"/>
      <c r="K262" s="196" t="s">
        <v>35</v>
      </c>
      <c r="L262" s="196"/>
      <c r="M262" s="195"/>
      <c r="N262" s="200"/>
      <c r="O262" s="196" t="s">
        <v>35</v>
      </c>
      <c r="P262" s="195"/>
      <c r="Q262" s="200">
        <v>55</v>
      </c>
      <c r="R262" s="195" t="s">
        <v>357</v>
      </c>
      <c r="S262" s="201">
        <v>45643</v>
      </c>
      <c r="T262" s="165" t="s">
        <v>363</v>
      </c>
    </row>
    <row r="263" spans="1:20" ht="15" thickBot="1" x14ac:dyDescent="0.35">
      <c r="A263" s="233" t="s">
        <v>665</v>
      </c>
      <c r="B263" s="195" t="s">
        <v>77</v>
      </c>
      <c r="C263" s="196">
        <v>45641</v>
      </c>
      <c r="D263" s="195" t="s">
        <v>666</v>
      </c>
      <c r="E263" s="195" t="s">
        <v>106</v>
      </c>
      <c r="F263" s="307">
        <v>45678</v>
      </c>
      <c r="G263" s="198">
        <v>359</v>
      </c>
      <c r="H263" s="199">
        <v>45645</v>
      </c>
      <c r="I263" s="200">
        <v>1382</v>
      </c>
      <c r="J263" s="200"/>
      <c r="K263" s="196" t="s">
        <v>35</v>
      </c>
      <c r="L263" s="196"/>
      <c r="M263" s="195"/>
      <c r="N263" s="200"/>
      <c r="O263" s="196" t="s">
        <v>35</v>
      </c>
      <c r="P263" s="195"/>
      <c r="Q263" s="200">
        <v>1382</v>
      </c>
      <c r="R263" s="195" t="s">
        <v>357</v>
      </c>
      <c r="S263" s="201">
        <v>45665</v>
      </c>
      <c r="T263" s="260" t="s">
        <v>363</v>
      </c>
    </row>
    <row r="264" spans="1:20" ht="15" thickBot="1" x14ac:dyDescent="0.35">
      <c r="A264" s="10" t="s">
        <v>669</v>
      </c>
      <c r="B264" s="149"/>
      <c r="C264" s="149"/>
      <c r="D264" s="21" t="s">
        <v>670</v>
      </c>
      <c r="E264" s="149" t="s">
        <v>120</v>
      </c>
      <c r="F264" s="317">
        <v>45901</v>
      </c>
      <c r="G264" s="150">
        <v>360</v>
      </c>
      <c r="H264" s="151">
        <v>45653</v>
      </c>
      <c r="I264" s="152">
        <v>8100</v>
      </c>
      <c r="J264" s="152">
        <v>1620</v>
      </c>
      <c r="K264" s="316" t="s">
        <v>671</v>
      </c>
      <c r="L264" s="154">
        <v>45670</v>
      </c>
      <c r="M264" s="149"/>
      <c r="N264" s="152">
        <v>1620</v>
      </c>
      <c r="O264" s="316">
        <v>45731</v>
      </c>
      <c r="P264" s="154">
        <v>45729</v>
      </c>
      <c r="Q264" s="152">
        <v>4860</v>
      </c>
      <c r="R264" s="316">
        <v>45870</v>
      </c>
      <c r="S264" s="201">
        <v>45838</v>
      </c>
      <c r="T264" s="195" t="s">
        <v>118</v>
      </c>
    </row>
    <row r="265" spans="1:20" x14ac:dyDescent="0.3">
      <c r="A265" s="21" t="s">
        <v>672</v>
      </c>
      <c r="B265" s="195"/>
      <c r="C265" s="196">
        <v>45626</v>
      </c>
      <c r="D265" s="195" t="s">
        <v>673</v>
      </c>
      <c r="E265" s="195" t="s">
        <v>106</v>
      </c>
      <c r="F265" s="307">
        <v>45873</v>
      </c>
      <c r="G265" s="198">
        <v>361</v>
      </c>
      <c r="H265" s="199">
        <v>45654</v>
      </c>
      <c r="I265" s="200">
        <v>3850</v>
      </c>
      <c r="J265" s="200">
        <v>770</v>
      </c>
      <c r="K265" s="287">
        <v>45665</v>
      </c>
      <c r="L265" s="300">
        <v>45659</v>
      </c>
      <c r="M265" s="195"/>
      <c r="N265" s="200"/>
      <c r="O265" s="196" t="s">
        <v>35</v>
      </c>
      <c r="P265" s="195"/>
      <c r="Q265" s="200">
        <v>3080</v>
      </c>
      <c r="R265" s="287">
        <v>45839</v>
      </c>
      <c r="S265" s="201">
        <v>45832</v>
      </c>
      <c r="T265" s="260" t="s">
        <v>118</v>
      </c>
    </row>
    <row r="266" spans="1:20" x14ac:dyDescent="0.3">
      <c r="A266" s="233" t="s">
        <v>674</v>
      </c>
      <c r="B266" s="195" t="s">
        <v>77</v>
      </c>
      <c r="C266" s="196">
        <v>45629</v>
      </c>
      <c r="D266" s="195" t="s">
        <v>675</v>
      </c>
      <c r="E266" s="195" t="s">
        <v>106</v>
      </c>
      <c r="F266" s="307">
        <v>45719</v>
      </c>
      <c r="G266" s="198">
        <v>362</v>
      </c>
      <c r="H266" s="199">
        <v>45654</v>
      </c>
      <c r="I266" s="200">
        <v>427</v>
      </c>
      <c r="J266" s="200">
        <v>85.4</v>
      </c>
      <c r="K266" s="287">
        <v>45665</v>
      </c>
      <c r="L266" s="196"/>
      <c r="M266" s="195"/>
      <c r="N266" s="200"/>
      <c r="O266" s="196" t="s">
        <v>35</v>
      </c>
      <c r="P266" s="195"/>
      <c r="Q266" s="200">
        <v>341.6</v>
      </c>
      <c r="R266" s="287">
        <v>45689</v>
      </c>
      <c r="S266" s="300">
        <v>45663</v>
      </c>
    </row>
    <row r="267" spans="1:20" x14ac:dyDescent="0.3">
      <c r="A267" s="332" t="s">
        <v>676</v>
      </c>
      <c r="B267" s="186"/>
      <c r="C267" s="186"/>
      <c r="D267" s="172" t="s">
        <v>677</v>
      </c>
      <c r="E267" s="172" t="s">
        <v>106</v>
      </c>
      <c r="F267" s="311">
        <v>45733</v>
      </c>
      <c r="G267" s="189">
        <v>363</v>
      </c>
      <c r="H267" s="190">
        <v>45654</v>
      </c>
      <c r="I267" s="191">
        <v>815</v>
      </c>
      <c r="J267" s="191">
        <v>165</v>
      </c>
      <c r="K267" s="331">
        <v>45665</v>
      </c>
      <c r="L267" s="192" t="s">
        <v>689</v>
      </c>
      <c r="O267" s="192" t="s">
        <v>35</v>
      </c>
      <c r="Q267" s="193">
        <v>652</v>
      </c>
      <c r="R267" s="209">
        <v>45698</v>
      </c>
    </row>
    <row r="268" spans="1:20" x14ac:dyDescent="0.3">
      <c r="A268" s="119" t="s">
        <v>678</v>
      </c>
      <c r="B268" s="203"/>
      <c r="C268" s="203"/>
      <c r="D268" s="203" t="s">
        <v>677</v>
      </c>
      <c r="E268" s="203" t="s">
        <v>106</v>
      </c>
      <c r="F268" s="308">
        <v>45733</v>
      </c>
      <c r="G268" s="206">
        <v>364</v>
      </c>
      <c r="H268" s="207">
        <v>45654</v>
      </c>
      <c r="I268" s="208">
        <v>815</v>
      </c>
      <c r="J268" s="208">
        <v>165</v>
      </c>
      <c r="K268" s="352">
        <v>45665</v>
      </c>
      <c r="L268" s="196" t="s">
        <v>689</v>
      </c>
      <c r="M268" s="195"/>
      <c r="N268" s="200"/>
      <c r="O268" s="196" t="s">
        <v>35</v>
      </c>
      <c r="P268" s="195"/>
      <c r="Q268" s="200">
        <v>652</v>
      </c>
      <c r="R268" s="287">
        <v>45698</v>
      </c>
      <c r="S268" s="192">
        <v>45705</v>
      </c>
      <c r="T268" s="165" t="s">
        <v>363</v>
      </c>
    </row>
    <row r="269" spans="1:20" x14ac:dyDescent="0.3">
      <c r="A269" s="233" t="s">
        <v>679</v>
      </c>
      <c r="B269" s="195" t="s">
        <v>77</v>
      </c>
      <c r="C269" s="196">
        <v>45641</v>
      </c>
      <c r="D269" s="195" t="s">
        <v>680</v>
      </c>
      <c r="E269" s="195" t="s">
        <v>106</v>
      </c>
      <c r="F269" s="307">
        <v>45704</v>
      </c>
      <c r="G269" s="198">
        <v>365</v>
      </c>
      <c r="H269" s="199">
        <v>45654</v>
      </c>
      <c r="I269" s="200">
        <v>1018</v>
      </c>
      <c r="J269" s="200"/>
      <c r="K269" s="196" t="s">
        <v>35</v>
      </c>
      <c r="L269" s="196"/>
      <c r="M269" s="195"/>
      <c r="N269" s="200"/>
      <c r="O269" s="196" t="s">
        <v>35</v>
      </c>
      <c r="P269" s="195"/>
      <c r="Q269" s="200">
        <v>1018</v>
      </c>
      <c r="R269" s="287">
        <v>45667</v>
      </c>
      <c r="S269" s="300">
        <v>45674</v>
      </c>
      <c r="T269" s="165" t="s">
        <v>363</v>
      </c>
    </row>
    <row r="270" spans="1:20" x14ac:dyDescent="0.3">
      <c r="A270" s="226" t="s">
        <v>683</v>
      </c>
      <c r="B270" s="203" t="s">
        <v>77</v>
      </c>
      <c r="C270" s="204">
        <v>45653</v>
      </c>
      <c r="D270" s="203" t="s">
        <v>684</v>
      </c>
      <c r="E270" s="203" t="s">
        <v>106</v>
      </c>
      <c r="F270" s="308">
        <v>45754</v>
      </c>
      <c r="G270" s="206">
        <v>366</v>
      </c>
      <c r="H270" s="207">
        <v>45657</v>
      </c>
      <c r="I270" s="208">
        <v>649</v>
      </c>
      <c r="J270" s="208">
        <v>129.80000000000001</v>
      </c>
      <c r="K270" s="352">
        <v>45667</v>
      </c>
      <c r="L270" s="196">
        <v>45663</v>
      </c>
      <c r="M270" s="195"/>
      <c r="N270" s="200"/>
      <c r="O270" s="196" t="s">
        <v>35</v>
      </c>
      <c r="P270" s="195"/>
      <c r="Q270" s="200">
        <v>519.20000000000005</v>
      </c>
      <c r="R270" s="287">
        <v>45717</v>
      </c>
      <c r="S270" s="201">
        <v>45663</v>
      </c>
      <c r="T270" s="165" t="s">
        <v>581</v>
      </c>
    </row>
    <row r="272" spans="1:20" x14ac:dyDescent="0.3">
      <c r="M272" s="165">
        <f>3180+4770</f>
        <v>7950</v>
      </c>
    </row>
  </sheetData>
  <mergeCells count="9">
    <mergeCell ref="L67:M67"/>
    <mergeCell ref="S68:T68"/>
    <mergeCell ref="U71:V71"/>
    <mergeCell ref="L72:M72"/>
    <mergeCell ref="D253:D254"/>
    <mergeCell ref="C88:D88"/>
    <mergeCell ref="E88:F88"/>
    <mergeCell ref="T97:U97"/>
    <mergeCell ref="M98:N98"/>
  </mergeCells>
  <hyperlinks>
    <hyperlink ref="D44" r:id="rId1" display="http://tracking.volunteerworld.com/track/click/30536058/www.volunteerworld.com?p=eyJzIjoiNE1mSjRra2FwY3FiSEJabFE0bldXTlEwR0Z3IiwidiI6MSwicCI6IntcInVcIjozMDUzNjA1OCxcInZcIjoxLFwidXJsXCI6XCJodHRwczpcXFwvXFxcL3d3dy52b2x1bnRlZXJ3b3JsZC5jb21cXFwvdm9sdW50ZWVyLXByb2dyYW1cXFwvc29jY2VyLWFzc2lzdGFudC1jb2FjaC1hdC10aGUtYmVhY2gtaW4tdGFuemFuaWEtbnVuZ3dpLXphbnppYmFyXCIsXCJpZFwiOlwiOWE4NTAyYjU3OTg4NDY4ZmE5M2I2ZGY2M2JlM2U4NGVcIixcInVybF9pZHNcIjpbXCIzOGJiZWI1MjM0OThmNWQ1NGMyMGI4NDY3NDM2NDNkZThlMDI0ZGZmXCJdfSJ9"/>
    <hyperlink ref="D46" r:id="rId2" display="http://tracking.volunteerworld.com/track/click/30536058/www.volunteerworld.com?p=eyJzIjoiWTY3Nnp4RTkwcEpRMVMtYUIxekJuNllKalV3IiwidiI6MSwicCI6IntcInVcIjozMDUzNjA1OCxcInZcIjoxLFwidXJsXCI6XCJodHRwczpcXFwvXFxcL3d3dy52b2x1bnRlZXJ3b3JsZC5jb21cXFwvdm9sdW50ZWVyLXByb2dyYW1cXFwvdGVhY2gtZW5nbGlzaC1za2lsbHMtdG8tbG9jYWwtc3R1ZGVudC1hdC10aGUtYmVhY2gtaW4tY29zdGEtcmljYS1qYWNvXCIsXCJpZFwiOlwiZGZjMjA1NjNjNjc3NGY3MDgxZWZlNTU1NjMzNTg4OTVcIixcInVybF9pZHNcIjpbXCJhNjNiYzE3MDc4NzY4NzViMGJkOGI3ZTBhMzMzZmEzYzUwZWI0N2IxXCJdfSJ9"/>
    <hyperlink ref="D47" r:id="rId3" display="http://tracking.volunteerworld.com/track/click/30536058/www.volunteerworld.com?p=eyJzIjoiQnZLZzRoaFNfU0s1VXk1VjVYUWlNdzhSdVI4IiwidiI6MSwicCI6IntcInVcIjozMDUzNjA1OCxcInZcIjoxLFwidXJsXCI6XCJodHRwczpcXFwvXFxcL3d3dy52b2x1bnRlZXJ3b3JsZC5jb21cXFwvdm9sdW50ZWVyLXByb2dyYW1cXFwvc2VhLXR1cnRsZXMtY29uc2VydmF0aW9uLWVudmlyb25tZW50YWwtcHJvdGVjdGlvLWluLWNvc3RhLXJpY2EtcGxheWEtYmFuZGVyYVwiLFwiaWRcIjpcImFjNzFjMDY3MzZlNzQxMTM4NjkyYWFmN2JlZTJmMzBjXCIsXCJ1cmxfaWRzXCI6W1wiYTM5N2YzNDIyMzYyMmFmMDlhNmIwNzdkODFlOTNkODlkOWU2MzMxNFwiXX0ifQ"/>
    <hyperlink ref="D52" r:id="rId4" display="http://tracking.volunteerworld.com/track/click/30536058/www.volunteerworld.com?p=eyJzIjoiU1Y4TTdJeWtlTW5fLS00czE0MndvVmFkWnlnIiwidiI6MSwicCI6IntcInVcIjozMDUzNjA1OCxcInZcIjoxLFwidXJsXCI6XCJodHRwczpcXFwvXFxcL3d3dy52b2x1bnRlZXJ3b3JsZC5jb21cXFwvdm9sdW50ZWVyLXByb2dyYW1cXFwvc3VwcG9ydC1hLWNhdC1hbmQtZG9nLXNoZWx0ZXItaW4tY29zdGEtcmljYS11dml0YVwiLFwiaWRcIjpcIjkwNDg5NGJjNGM4NjQzZmZhZDk3Y2ViYjEyYzljMzFhXCIsXCJ1cmxfaWRzXCI6W1wiZjU4YTk2YTJjNmQ2N2I0N2ZkNzdhZTQ5NzQxMTdkYTgxNmU0ZmI0ZlwiXX0ifQ"/>
    <hyperlink ref="D53" r:id="rId5" display="http://tracking.volunteerworld.com/track/click/30536058/www.volunteerworld.com?p=eyJzIjoiOW9yVkN5YV82Wi1WbWEtYy1zNEoxMXpmV25ZIiwidiI6MSwicCI6IntcInVcIjozMDUzNjA1OCxcInZcIjoxLFwidXJsXCI6XCJodHRwczpcXFwvXFxcL3d3dy52b2x1bnRlZXJ3b3JsZC5jb21cXFwvZW5cXFwvdm9sdW50ZWVyLWFicm9hZFxcXC90YW56YW5pYVwiLFwiaWRcIjpcIjNjMmVjNTUxNDY3NDQ5ODQ5ZmY4NTE5ZjliMGI4ZDZhXCIsXCJ1cmxfaWRzXCI6W1wiNmRiZmRlYTQ0Zjk1YmE3YWJlMDQ5YTMzYWU4NDUyMWY4MDg2NmUwNVwiXX0ifQ"/>
    <hyperlink ref="D54" r:id="rId6" display="http://tracking.volunteerworld.com/track/click/30536058/www.volunteerworld.com?p=eyJzIjoic0F3Tm9Gd1J0SDlwNFFMMHdfVHpPa0FKeXVRIiwidiI6MSwicCI6IntcInVcIjozMDUzNjA1OCxcInZcIjoxLFwidXJsXCI6XCJodHRwczpcXFwvXFxcL3d3dy52b2x1bnRlZXJ3b3JsZC5jb21cXFwvdm9sdW50ZWVyLXByb2dyYW1cXFwvcHJlLWFuZC1wcmltYXJ5LXNjaG9vbC1hc3Npc3RhbnQtaW4tdGFuemFuaWEtbnVuZ3dpLXphbnppYmFyXCIsXCJpZFwiOlwiM2MyZWM1NTE0Njc0NDk4NDlmZjg1MTlmOWIwYjhkNmFcIixcInVybF9pZHNcIjpbXCJlMzc2YWFlYWM4MjIzZjhiNGYxOGY3ZmVmODM1OWJjYzM1YzdiNDY0XCJdfSJ9"/>
    <hyperlink ref="D56" r:id="rId7" display="http://tracking.volunteerworld.com/track/click/30536058/www.volunteerworld.com?p=eyJzIjoiS2ctUGlvODdoMGg5ZU5UanBKb1gzUmVzbHVjIiwidiI6MSwicCI6IntcInVcIjozMDUzNjA1OCxcInZcIjoxLFwidXJsXCI6XCJodHRwczpcXFwvXFxcL3d3dy52b2x1bnRlZXJ3b3JsZC5jb21cXFwvdm9sdW50ZWVyLXByb2dyYW1cXFwvc3VwcG9ydC1kb2ctc2hlbHRlci1pbi1ncmVlY2UtaXJha2xpb1wiLFwiaWRcIjpcIjFiMDMwYjU5Y2YyNjRhNTA5YjRiZjI2NDMwODM2NjBiXCIsXCJ1cmxfaWRzXCI6W1wiOTRlNzFiNzRjMjM3ZjE0YzFlZDNjYTQ3ZTY0MGU4ZTEyMWU5NmUxM1wiXX0ifQ"/>
    <hyperlink ref="D68" r:id="rId8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97" r:id="rId9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U123" r:id="rId10" display="mailto:sophie.kegel1203@gmail.com"/>
    <hyperlink ref="V11" r:id="rId11" display="mailto:tanjawerner70@web.de"/>
    <hyperlink ref="D137" r:id="rId12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41" r:id="rId13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47" r:id="rId14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49" r:id="rId15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67" r:id="rId16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75" r:id="rId17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187" r:id="rId18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203" r:id="rId19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</hyperlinks>
  <pageMargins left="0.7" right="0.7" top="0.78740157499999996" bottom="0.78740157499999996" header="0.3" footer="0.3"/>
  <pageSetup paperSize="9" orientation="portrait" horizontalDpi="4294967292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E1" workbookViewId="0">
      <selection activeCell="S21" sqref="S21"/>
    </sheetView>
  </sheetViews>
  <sheetFormatPr baseColWidth="10" defaultRowHeight="14.4" x14ac:dyDescent="0.3"/>
  <cols>
    <col min="1" max="1" width="27.44140625" style="20" customWidth="1"/>
    <col min="2" max="2" width="14.44140625" bestFit="1" customWidth="1"/>
    <col min="3" max="3" width="14.44140625" customWidth="1"/>
    <col min="4" max="4" width="92.109375" bestFit="1" customWidth="1"/>
    <col min="5" max="5" width="12.33203125" customWidth="1"/>
    <col min="6" max="6" width="17.88671875" style="7" customWidth="1"/>
    <col min="7" max="7" width="11" style="7" customWidth="1"/>
    <col min="8" max="8" width="16.33203125" style="77" bestFit="1" customWidth="1"/>
    <col min="9" max="9" width="14.88671875" style="2" bestFit="1" customWidth="1"/>
    <col min="10" max="10" width="10.44140625" style="2" bestFit="1" customWidth="1"/>
    <col min="11" max="11" width="10.109375" style="1" bestFit="1" customWidth="1"/>
    <col min="12" max="12" width="22.33203125" style="1" customWidth="1"/>
    <col min="13" max="13" width="15.88671875" customWidth="1"/>
    <col min="14" max="14" width="14.5546875" style="2" customWidth="1"/>
    <col min="15" max="15" width="12.109375" style="1" customWidth="1"/>
    <col min="16" max="16" width="12.109375" customWidth="1"/>
    <col min="17" max="17" width="11.33203125" style="2" bestFit="1" customWidth="1"/>
    <col min="18" max="18" width="11.109375" bestFit="1" customWidth="1"/>
    <col min="19" max="19" width="18.109375" customWidth="1"/>
    <col min="20" max="20" width="22.5546875" customWidth="1"/>
    <col min="21" max="21" width="58.88671875" style="2" customWidth="1"/>
    <col min="22" max="22" width="42.6640625" customWidth="1"/>
  </cols>
  <sheetData>
    <row r="1" spans="1:26" ht="15" thickBot="1" x14ac:dyDescent="0.35">
      <c r="A1" s="28" t="s">
        <v>5</v>
      </c>
      <c r="B1" s="28" t="s">
        <v>0</v>
      </c>
      <c r="C1" s="28" t="s">
        <v>1</v>
      </c>
      <c r="D1" s="28" t="s">
        <v>243</v>
      </c>
      <c r="E1" s="28" t="s">
        <v>103</v>
      </c>
      <c r="F1" s="29" t="s">
        <v>9</v>
      </c>
      <c r="G1" s="29" t="s">
        <v>7</v>
      </c>
      <c r="H1" s="76" t="s">
        <v>1</v>
      </c>
      <c r="I1" s="28" t="s">
        <v>23</v>
      </c>
      <c r="J1" s="28" t="s">
        <v>2</v>
      </c>
      <c r="K1" s="28" t="s">
        <v>3</v>
      </c>
      <c r="L1" s="28" t="s">
        <v>24</v>
      </c>
      <c r="M1" s="28" t="s">
        <v>4</v>
      </c>
      <c r="N1" s="28" t="s">
        <v>2</v>
      </c>
      <c r="O1" s="28" t="s">
        <v>3</v>
      </c>
      <c r="P1" s="28" t="s">
        <v>4</v>
      </c>
      <c r="Q1" s="28" t="s">
        <v>24</v>
      </c>
      <c r="R1" s="28" t="s">
        <v>3</v>
      </c>
      <c r="S1" s="28" t="s">
        <v>24</v>
      </c>
      <c r="T1" s="28" t="s">
        <v>4</v>
      </c>
      <c r="U1" s="28" t="s">
        <v>24</v>
      </c>
      <c r="V1" s="28" t="s">
        <v>1</v>
      </c>
      <c r="W1" s="28"/>
      <c r="X1" s="28"/>
      <c r="Y1" s="28"/>
      <c r="Z1" s="28"/>
    </row>
    <row r="2" spans="1:26" ht="15" thickBot="1" x14ac:dyDescent="0.35">
      <c r="A2" s="30" t="s">
        <v>13</v>
      </c>
      <c r="B2" s="30"/>
      <c r="C2" s="30"/>
      <c r="D2" s="30" t="s">
        <v>20</v>
      </c>
      <c r="E2" s="30"/>
      <c r="F2" s="32" t="s">
        <v>21</v>
      </c>
      <c r="G2" s="32">
        <v>106</v>
      </c>
      <c r="H2" s="81">
        <v>45295</v>
      </c>
      <c r="I2" s="34">
        <v>16400</v>
      </c>
      <c r="J2" s="34">
        <v>3280</v>
      </c>
      <c r="K2" s="33">
        <v>45306</v>
      </c>
      <c r="L2" s="33">
        <v>45301</v>
      </c>
      <c r="M2" s="40"/>
      <c r="N2" s="34">
        <v>3280</v>
      </c>
      <c r="O2" s="33">
        <v>45366</v>
      </c>
      <c r="P2" s="41">
        <v>45446</v>
      </c>
      <c r="Q2" s="34">
        <v>9840</v>
      </c>
      <c r="R2" s="33">
        <v>45444</v>
      </c>
      <c r="S2" s="90">
        <v>45443</v>
      </c>
      <c r="T2" s="28"/>
      <c r="U2" s="28"/>
      <c r="V2" s="28"/>
      <c r="W2" s="28"/>
      <c r="X2" s="28"/>
      <c r="Y2" s="42" t="s">
        <v>84</v>
      </c>
      <c r="Z2" s="28"/>
    </row>
    <row r="3" spans="1:26" ht="15" thickBot="1" x14ac:dyDescent="0.35">
      <c r="A3" s="30" t="s">
        <v>19</v>
      </c>
      <c r="B3" s="30"/>
      <c r="C3" s="30"/>
      <c r="D3" s="30" t="s">
        <v>20</v>
      </c>
      <c r="E3" s="30"/>
      <c r="F3" s="32" t="s">
        <v>21</v>
      </c>
      <c r="G3" s="32">
        <v>107</v>
      </c>
      <c r="H3" s="81">
        <v>45295</v>
      </c>
      <c r="I3" s="34">
        <v>15490</v>
      </c>
      <c r="J3" s="34">
        <v>3098</v>
      </c>
      <c r="K3" s="33">
        <v>45311</v>
      </c>
      <c r="L3" s="33">
        <v>45310</v>
      </c>
      <c r="M3" s="40"/>
      <c r="N3" s="34">
        <v>3098</v>
      </c>
      <c r="O3" s="33">
        <v>45366</v>
      </c>
      <c r="P3" s="43" t="s">
        <v>246</v>
      </c>
      <c r="Q3" s="34">
        <v>9294</v>
      </c>
      <c r="R3" s="33">
        <v>45444</v>
      </c>
      <c r="S3" s="90">
        <v>45436</v>
      </c>
      <c r="T3" s="28"/>
      <c r="U3" s="28"/>
      <c r="V3" s="28"/>
      <c r="W3" s="28"/>
      <c r="X3" s="28"/>
      <c r="Y3" s="44" t="s">
        <v>85</v>
      </c>
      <c r="Z3" s="28"/>
    </row>
    <row r="4" spans="1:26" ht="15" thickBot="1" x14ac:dyDescent="0.35">
      <c r="A4" s="30" t="s">
        <v>22</v>
      </c>
      <c r="B4" s="30"/>
      <c r="C4" s="30"/>
      <c r="D4" s="30" t="s">
        <v>20</v>
      </c>
      <c r="E4" s="30"/>
      <c r="F4" s="32" t="s">
        <v>21</v>
      </c>
      <c r="G4" s="32">
        <v>108</v>
      </c>
      <c r="H4" s="81">
        <v>45295</v>
      </c>
      <c r="I4" s="34">
        <v>16400</v>
      </c>
      <c r="J4" s="34">
        <v>3280</v>
      </c>
      <c r="K4" s="33">
        <v>45311</v>
      </c>
      <c r="L4" s="33">
        <v>45310</v>
      </c>
      <c r="M4" s="40"/>
      <c r="N4" s="34">
        <v>3280</v>
      </c>
      <c r="O4" s="33">
        <v>45366</v>
      </c>
      <c r="P4" s="45" t="s">
        <v>247</v>
      </c>
      <c r="Q4" s="34">
        <v>9840</v>
      </c>
      <c r="R4" s="33">
        <v>45444</v>
      </c>
      <c r="S4" s="90">
        <v>45443</v>
      </c>
      <c r="T4" s="28"/>
      <c r="U4" s="28"/>
      <c r="V4" s="28"/>
      <c r="W4" s="28"/>
      <c r="X4" s="28"/>
      <c r="Y4" s="28"/>
      <c r="Z4" s="28"/>
    </row>
    <row r="5" spans="1:26" ht="15" thickBot="1" x14ac:dyDescent="0.35">
      <c r="A5" s="30" t="s">
        <v>25</v>
      </c>
      <c r="B5" s="30"/>
      <c r="C5" s="30"/>
      <c r="D5" s="30" t="s">
        <v>20</v>
      </c>
      <c r="E5" s="30"/>
      <c r="F5" s="32" t="s">
        <v>21</v>
      </c>
      <c r="G5" s="32">
        <v>109</v>
      </c>
      <c r="H5" s="81">
        <v>45295</v>
      </c>
      <c r="I5" s="34">
        <v>11100</v>
      </c>
      <c r="J5" s="34">
        <v>2220</v>
      </c>
      <c r="K5" s="33">
        <v>45311</v>
      </c>
      <c r="L5" s="41">
        <v>45310</v>
      </c>
      <c r="M5" s="30"/>
      <c r="N5" s="34">
        <v>2220</v>
      </c>
      <c r="O5" s="33">
        <v>45366</v>
      </c>
      <c r="P5" s="43" t="s">
        <v>248</v>
      </c>
      <c r="Q5" s="38">
        <v>6660</v>
      </c>
      <c r="R5" s="37">
        <v>45444</v>
      </c>
      <c r="S5" s="99">
        <f>5000+1660</f>
        <v>6660</v>
      </c>
      <c r="T5" s="90">
        <v>45446</v>
      </c>
      <c r="U5" s="28"/>
      <c r="V5" s="28"/>
      <c r="W5" s="28"/>
      <c r="X5" s="28"/>
      <c r="Y5" s="46" t="s">
        <v>130</v>
      </c>
      <c r="Z5" s="28"/>
    </row>
    <row r="6" spans="1:26" ht="15" thickBot="1" x14ac:dyDescent="0.35">
      <c r="A6" s="30" t="s">
        <v>26</v>
      </c>
      <c r="B6" s="30"/>
      <c r="C6" s="30"/>
      <c r="D6" s="30" t="s">
        <v>20</v>
      </c>
      <c r="E6" s="30"/>
      <c r="F6" s="32" t="s">
        <v>21</v>
      </c>
      <c r="G6" s="32">
        <v>110</v>
      </c>
      <c r="H6" s="81">
        <v>45295</v>
      </c>
      <c r="I6" s="34">
        <v>6950</v>
      </c>
      <c r="J6" s="34">
        <v>1390</v>
      </c>
      <c r="K6" s="33">
        <v>45311</v>
      </c>
      <c r="L6" s="33">
        <v>45313</v>
      </c>
      <c r="M6" s="40"/>
      <c r="N6" s="34">
        <v>1390</v>
      </c>
      <c r="O6" s="33">
        <v>45366</v>
      </c>
      <c r="P6" s="43" t="s">
        <v>248</v>
      </c>
      <c r="Q6" s="38">
        <v>4170</v>
      </c>
      <c r="R6" s="37">
        <v>45444</v>
      </c>
      <c r="S6" s="28"/>
      <c r="T6" s="28"/>
      <c r="U6" s="28"/>
      <c r="V6" s="28"/>
      <c r="W6" s="28"/>
      <c r="X6" s="28"/>
      <c r="Y6" s="28"/>
      <c r="Z6" s="28"/>
    </row>
    <row r="7" spans="1:26" ht="15" thickBot="1" x14ac:dyDescent="0.35">
      <c r="A7" s="57" t="s">
        <v>163</v>
      </c>
      <c r="B7" s="30"/>
      <c r="C7" s="30"/>
      <c r="D7" s="30" t="s">
        <v>164</v>
      </c>
      <c r="E7" s="30" t="s">
        <v>120</v>
      </c>
      <c r="F7" s="32" t="s">
        <v>21</v>
      </c>
      <c r="G7" s="32">
        <v>173</v>
      </c>
      <c r="H7" s="81">
        <v>45378</v>
      </c>
      <c r="I7" s="34">
        <v>8350</v>
      </c>
      <c r="J7" s="34">
        <v>3340</v>
      </c>
      <c r="K7" s="33">
        <v>45397</v>
      </c>
      <c r="L7" s="41">
        <v>45384</v>
      </c>
      <c r="M7" s="50" t="s">
        <v>118</v>
      </c>
      <c r="N7" s="30"/>
      <c r="O7" s="30" t="s">
        <v>35</v>
      </c>
      <c r="P7" s="30"/>
      <c r="Q7" s="34">
        <v>5010</v>
      </c>
      <c r="R7" s="33">
        <v>45444</v>
      </c>
      <c r="S7" s="80">
        <v>45478</v>
      </c>
      <c r="T7" s="28" t="s">
        <v>140</v>
      </c>
      <c r="U7" s="28"/>
      <c r="V7" s="28"/>
      <c r="W7" s="28"/>
      <c r="X7" s="28"/>
      <c r="Y7" s="28"/>
      <c r="Z7" s="28"/>
    </row>
    <row r="8" spans="1:26" ht="15" customHeight="1" thickBot="1" x14ac:dyDescent="0.35">
      <c r="A8" s="68" t="s">
        <v>165</v>
      </c>
      <c r="B8" s="30"/>
      <c r="C8" s="30"/>
      <c r="D8" s="30" t="s">
        <v>166</v>
      </c>
      <c r="E8" s="30" t="s">
        <v>120</v>
      </c>
      <c r="F8" s="32" t="s">
        <v>21</v>
      </c>
      <c r="G8" s="32">
        <v>174</v>
      </c>
      <c r="H8" s="81">
        <v>45378</v>
      </c>
      <c r="I8" s="34">
        <v>16400</v>
      </c>
      <c r="J8" s="34">
        <v>6560</v>
      </c>
      <c r="K8" s="33">
        <v>45397</v>
      </c>
      <c r="L8" s="41">
        <v>45393</v>
      </c>
      <c r="M8" s="50" t="s">
        <v>118</v>
      </c>
      <c r="N8" s="30"/>
      <c r="O8" s="30" t="s">
        <v>35</v>
      </c>
      <c r="P8" s="30"/>
      <c r="Q8" s="34">
        <v>9840</v>
      </c>
      <c r="R8" s="33">
        <v>45444</v>
      </c>
      <c r="S8" s="90">
        <v>45462</v>
      </c>
      <c r="T8" s="28" t="s">
        <v>140</v>
      </c>
      <c r="U8" s="28"/>
      <c r="V8" s="28"/>
      <c r="W8" s="28"/>
      <c r="X8" s="28"/>
      <c r="Y8" s="28"/>
      <c r="Z8" s="28"/>
    </row>
    <row r="9" spans="1:26" ht="15" customHeight="1" thickBot="1" x14ac:dyDescent="0.35">
      <c r="A9" s="268" t="s">
        <v>167</v>
      </c>
      <c r="B9" s="274" t="s">
        <v>549</v>
      </c>
      <c r="C9" s="274" t="s">
        <v>550</v>
      </c>
      <c r="D9" s="269" t="s">
        <v>168</v>
      </c>
      <c r="E9" s="269" t="s">
        <v>120</v>
      </c>
      <c r="F9" s="270" t="s">
        <v>21</v>
      </c>
      <c r="G9" s="270" t="s">
        <v>303</v>
      </c>
      <c r="H9" s="271">
        <v>45378</v>
      </c>
      <c r="I9" s="272">
        <f>11600-755</f>
        <v>10845</v>
      </c>
      <c r="J9" s="272">
        <v>4640</v>
      </c>
      <c r="K9" s="273">
        <v>45397</v>
      </c>
      <c r="L9" s="269"/>
      <c r="M9" s="269"/>
      <c r="N9" s="269"/>
      <c r="O9" s="269" t="s">
        <v>35</v>
      </c>
      <c r="P9" s="269"/>
      <c r="Q9" s="272">
        <f>6960-755</f>
        <v>6205</v>
      </c>
      <c r="R9" s="273">
        <v>45444</v>
      </c>
      <c r="S9" s="269"/>
      <c r="T9" s="269"/>
      <c r="U9" s="269"/>
      <c r="V9" s="28"/>
      <c r="W9" s="28"/>
      <c r="X9" s="28"/>
      <c r="Y9" s="28"/>
      <c r="Z9" s="28"/>
    </row>
    <row r="10" spans="1:26" ht="15" customHeight="1" thickBot="1" x14ac:dyDescent="0.35">
      <c r="A10" s="30" t="s">
        <v>172</v>
      </c>
      <c r="B10" s="30"/>
      <c r="C10" s="30"/>
      <c r="D10" s="30" t="s">
        <v>173</v>
      </c>
      <c r="E10" s="30" t="s">
        <v>120</v>
      </c>
      <c r="F10" s="32" t="s">
        <v>21</v>
      </c>
      <c r="G10" s="32">
        <v>176</v>
      </c>
      <c r="H10" s="81">
        <v>45378</v>
      </c>
      <c r="I10" s="34">
        <v>11600</v>
      </c>
      <c r="J10" s="34">
        <v>4640</v>
      </c>
      <c r="K10" s="35" t="s">
        <v>292</v>
      </c>
      <c r="L10" s="101">
        <v>45401</v>
      </c>
      <c r="M10" s="28"/>
      <c r="N10" s="28"/>
      <c r="O10" s="28" t="s">
        <v>35</v>
      </c>
      <c r="P10" s="28"/>
      <c r="Q10" s="38">
        <v>6960</v>
      </c>
      <c r="R10" s="37">
        <v>45444</v>
      </c>
      <c r="S10" s="28"/>
      <c r="T10" s="28"/>
      <c r="U10" s="28"/>
      <c r="V10" s="28"/>
      <c r="W10" s="28"/>
      <c r="X10" s="28"/>
      <c r="Y10" s="28"/>
      <c r="Z10" s="28"/>
    </row>
    <row r="11" spans="1:26" ht="15" customHeight="1" thickBot="1" x14ac:dyDescent="0.35">
      <c r="A11" s="109" t="s">
        <v>226</v>
      </c>
      <c r="B11" s="109"/>
      <c r="C11" s="109"/>
      <c r="D11" s="109" t="s">
        <v>287</v>
      </c>
      <c r="E11" s="109" t="s">
        <v>120</v>
      </c>
      <c r="F11" s="110" t="s">
        <v>227</v>
      </c>
      <c r="G11" s="110">
        <v>207</v>
      </c>
      <c r="H11" s="111">
        <v>45419</v>
      </c>
      <c r="I11" s="112">
        <v>15100</v>
      </c>
      <c r="J11" s="112">
        <v>3020</v>
      </c>
      <c r="K11" s="113">
        <v>45437</v>
      </c>
      <c r="L11" s="90">
        <v>45425</v>
      </c>
      <c r="M11" s="28" t="s">
        <v>118</v>
      </c>
      <c r="N11" s="142">
        <v>3020</v>
      </c>
      <c r="O11" s="144">
        <v>45703</v>
      </c>
      <c r="P11" s="143"/>
      <c r="Q11" s="142">
        <v>9060</v>
      </c>
      <c r="R11" s="144">
        <v>45809</v>
      </c>
      <c r="S11" s="143"/>
      <c r="T11" s="28"/>
      <c r="U11" s="28"/>
      <c r="V11" s="28"/>
      <c r="W11" s="28"/>
      <c r="X11" s="28"/>
      <c r="Y11" s="28"/>
      <c r="Z11" s="28"/>
    </row>
    <row r="12" spans="1:26" ht="15" thickBot="1" x14ac:dyDescent="0.35">
      <c r="A12" s="57" t="s">
        <v>410</v>
      </c>
      <c r="B12" s="149" t="s">
        <v>411</v>
      </c>
      <c r="C12" s="149"/>
      <c r="D12" s="149" t="s">
        <v>412</v>
      </c>
      <c r="E12" s="149" t="s">
        <v>120</v>
      </c>
      <c r="F12" s="150" t="s">
        <v>227</v>
      </c>
      <c r="G12" s="150">
        <v>251</v>
      </c>
      <c r="H12" s="151">
        <v>45483</v>
      </c>
      <c r="I12" s="152">
        <v>16400</v>
      </c>
      <c r="J12" s="152">
        <v>3280</v>
      </c>
      <c r="K12" s="153">
        <v>45498</v>
      </c>
      <c r="L12" s="154" t="s">
        <v>465</v>
      </c>
      <c r="M12" s="155" t="s">
        <v>118</v>
      </c>
      <c r="N12" s="156">
        <v>3280</v>
      </c>
      <c r="O12" s="157">
        <v>45703</v>
      </c>
      <c r="P12" s="155"/>
      <c r="Q12" s="156">
        <v>9840</v>
      </c>
      <c r="R12" s="157">
        <v>45809</v>
      </c>
    </row>
    <row r="13" spans="1:26" ht="15" thickBot="1" x14ac:dyDescent="0.35">
      <c r="A13" s="158" t="s">
        <v>421</v>
      </c>
      <c r="B13" s="149" t="s">
        <v>422</v>
      </c>
      <c r="C13" s="149"/>
      <c r="D13" s="149" t="s">
        <v>423</v>
      </c>
      <c r="E13" s="149" t="s">
        <v>120</v>
      </c>
      <c r="F13" s="150" t="s">
        <v>227</v>
      </c>
      <c r="G13" s="150">
        <v>253</v>
      </c>
      <c r="H13" s="151">
        <v>45489</v>
      </c>
      <c r="I13" s="152">
        <v>9900</v>
      </c>
      <c r="J13" s="152">
        <v>1980</v>
      </c>
      <c r="K13" s="153">
        <v>45498</v>
      </c>
      <c r="L13" s="159">
        <v>45497</v>
      </c>
      <c r="M13" s="155" t="s">
        <v>118</v>
      </c>
      <c r="N13" s="156">
        <v>1980</v>
      </c>
      <c r="O13" s="157">
        <v>45703</v>
      </c>
      <c r="P13" s="155"/>
      <c r="Q13" s="156">
        <v>5940</v>
      </c>
      <c r="R13" s="157">
        <v>45809</v>
      </c>
    </row>
    <row r="14" spans="1:26" ht="15" thickBot="1" x14ac:dyDescent="0.35">
      <c r="A14" s="158" t="s">
        <v>464</v>
      </c>
      <c r="B14" s="149"/>
      <c r="C14" s="153">
        <v>45499</v>
      </c>
      <c r="D14" s="149" t="s">
        <v>423</v>
      </c>
      <c r="E14" s="149" t="s">
        <v>120</v>
      </c>
      <c r="F14" s="160">
        <v>45689</v>
      </c>
      <c r="G14" s="150">
        <v>272</v>
      </c>
      <c r="H14" s="151">
        <v>45504</v>
      </c>
      <c r="I14" s="152">
        <v>9900</v>
      </c>
      <c r="J14" s="152">
        <v>3960</v>
      </c>
      <c r="K14" s="153">
        <v>45519</v>
      </c>
      <c r="L14" s="154">
        <v>45506</v>
      </c>
      <c r="M14" s="155" t="s">
        <v>118</v>
      </c>
      <c r="N14" s="156"/>
      <c r="O14" s="159" t="s">
        <v>35</v>
      </c>
      <c r="P14" s="155"/>
      <c r="Q14" s="156">
        <v>5940</v>
      </c>
      <c r="R14" s="159">
        <v>45627</v>
      </c>
      <c r="T14" t="s">
        <v>473</v>
      </c>
    </row>
    <row r="15" spans="1:26" ht="15" thickBot="1" x14ac:dyDescent="0.35">
      <c r="A15" s="149" t="s">
        <v>466</v>
      </c>
      <c r="B15" s="149"/>
      <c r="C15" s="153">
        <v>45499</v>
      </c>
      <c r="D15" s="149" t="s">
        <v>467</v>
      </c>
      <c r="E15" s="149" t="s">
        <v>109</v>
      </c>
      <c r="F15" s="160">
        <v>45535</v>
      </c>
      <c r="G15" s="150">
        <v>273</v>
      </c>
      <c r="H15" s="151">
        <v>45504</v>
      </c>
      <c r="I15" s="152">
        <v>1165</v>
      </c>
      <c r="J15" s="152"/>
      <c r="K15" s="153" t="s">
        <v>35</v>
      </c>
      <c r="L15" s="153"/>
      <c r="M15" s="149"/>
      <c r="N15" s="152"/>
      <c r="O15" s="153" t="s">
        <v>35</v>
      </c>
      <c r="P15" s="149"/>
      <c r="Q15" s="152">
        <v>1165</v>
      </c>
      <c r="R15" s="149" t="s">
        <v>357</v>
      </c>
      <c r="S15" s="95">
        <v>45510</v>
      </c>
      <c r="T15" t="s">
        <v>118</v>
      </c>
    </row>
    <row r="16" spans="1:26" ht="15" thickBot="1" x14ac:dyDescent="0.35">
      <c r="A16" s="230" t="s">
        <v>481</v>
      </c>
      <c r="B16" s="195"/>
      <c r="C16" s="195"/>
      <c r="D16" s="195" t="s">
        <v>482</v>
      </c>
      <c r="E16" s="195" t="s">
        <v>120</v>
      </c>
      <c r="F16" s="310" t="s">
        <v>483</v>
      </c>
      <c r="G16" s="198">
        <v>279</v>
      </c>
      <c r="H16" s="199">
        <v>45518</v>
      </c>
      <c r="I16" s="200">
        <v>13800</v>
      </c>
      <c r="J16" s="200">
        <v>2760</v>
      </c>
      <c r="K16" s="196">
        <v>45529</v>
      </c>
      <c r="L16" s="201"/>
      <c r="M16" s="195" t="s">
        <v>118</v>
      </c>
      <c r="N16" s="200">
        <v>2760</v>
      </c>
      <c r="O16" s="329">
        <v>45703</v>
      </c>
      <c r="P16" s="195" t="s">
        <v>118</v>
      </c>
      <c r="Q16" s="200">
        <v>8280</v>
      </c>
      <c r="R16" s="287">
        <v>45809</v>
      </c>
      <c r="S16" s="201">
        <v>45810</v>
      </c>
      <c r="T16" s="260" t="s">
        <v>118</v>
      </c>
    </row>
    <row r="17" spans="1:20" ht="15" thickBot="1" x14ac:dyDescent="0.35">
      <c r="A17" s="220" t="s">
        <v>506</v>
      </c>
      <c r="B17" s="195"/>
      <c r="C17" s="196">
        <v>45540</v>
      </c>
      <c r="D17" s="195" t="s">
        <v>507</v>
      </c>
      <c r="E17" s="160" t="s">
        <v>120</v>
      </c>
      <c r="F17" s="160">
        <v>45548</v>
      </c>
      <c r="G17" s="150">
        <v>291</v>
      </c>
      <c r="H17" s="151">
        <v>45542</v>
      </c>
      <c r="I17" s="152">
        <v>9490</v>
      </c>
      <c r="J17" s="152"/>
      <c r="K17" s="153" t="s">
        <v>35</v>
      </c>
      <c r="L17" s="153"/>
      <c r="M17" s="149"/>
      <c r="N17" s="152"/>
      <c r="O17" s="153" t="s">
        <v>35</v>
      </c>
      <c r="P17" s="149"/>
      <c r="Q17" s="152">
        <v>9490</v>
      </c>
      <c r="R17" s="153">
        <v>45547</v>
      </c>
      <c r="S17" s="201">
        <v>45546</v>
      </c>
      <c r="T17" s="165" t="s">
        <v>118</v>
      </c>
    </row>
    <row r="18" spans="1:20" ht="15" thickBot="1" x14ac:dyDescent="0.35">
      <c r="A18" s="10" t="s">
        <v>545</v>
      </c>
      <c r="B18" s="195" t="s">
        <v>475</v>
      </c>
      <c r="C18" s="196">
        <v>45562</v>
      </c>
      <c r="D18" s="10" t="s">
        <v>546</v>
      </c>
      <c r="E18" s="195" t="s">
        <v>120</v>
      </c>
      <c r="F18" s="197">
        <v>45867</v>
      </c>
      <c r="G18" s="198">
        <v>307</v>
      </c>
      <c r="H18" s="199">
        <v>45566</v>
      </c>
      <c r="I18" s="200">
        <v>11100</v>
      </c>
      <c r="J18" s="200">
        <v>2220</v>
      </c>
      <c r="K18" s="196">
        <v>45566</v>
      </c>
      <c r="L18" s="201">
        <v>45569</v>
      </c>
      <c r="M18" s="165" t="s">
        <v>118</v>
      </c>
      <c r="N18" s="156">
        <v>2220</v>
      </c>
      <c r="O18" s="157">
        <v>45703</v>
      </c>
      <c r="P18" s="155"/>
      <c r="Q18" s="156">
        <v>6660</v>
      </c>
      <c r="R18" s="157">
        <v>45809</v>
      </c>
    </row>
    <row r="19" spans="1:20" x14ac:dyDescent="0.3">
      <c r="A19" s="10" t="s">
        <v>588</v>
      </c>
      <c r="B19" s="195"/>
      <c r="C19" s="196">
        <v>45525</v>
      </c>
      <c r="D19" s="10" t="s">
        <v>589</v>
      </c>
      <c r="E19" s="195" t="s">
        <v>120</v>
      </c>
      <c r="F19" s="197">
        <v>45867</v>
      </c>
      <c r="G19" s="198">
        <v>323</v>
      </c>
      <c r="H19" s="199">
        <v>45593</v>
      </c>
      <c r="I19" s="200">
        <v>10550</v>
      </c>
      <c r="J19" s="200">
        <v>2110</v>
      </c>
      <c r="K19" s="196">
        <v>45607</v>
      </c>
      <c r="L19" s="290">
        <v>45595</v>
      </c>
      <c r="M19" s="291" t="s">
        <v>118</v>
      </c>
      <c r="N19" s="193">
        <v>2110</v>
      </c>
      <c r="O19" s="209">
        <v>45703</v>
      </c>
      <c r="P19" s="165"/>
      <c r="Q19" s="193">
        <v>6330</v>
      </c>
      <c r="R19" s="209">
        <v>45809</v>
      </c>
    </row>
    <row r="20" spans="1:20" x14ac:dyDescent="0.3">
      <c r="A20" s="233" t="s">
        <v>611</v>
      </c>
      <c r="B20" s="195"/>
      <c r="C20" s="196">
        <v>45589</v>
      </c>
      <c r="D20" s="10" t="s">
        <v>612</v>
      </c>
      <c r="E20" s="195" t="s">
        <v>106</v>
      </c>
      <c r="F20" s="307">
        <v>45872</v>
      </c>
      <c r="G20" s="198">
        <v>334</v>
      </c>
      <c r="H20" s="199">
        <v>45602</v>
      </c>
      <c r="I20" s="200">
        <v>8260</v>
      </c>
      <c r="J20" s="200">
        <v>1652</v>
      </c>
      <c r="K20" s="196">
        <v>45616</v>
      </c>
      <c r="L20" s="201">
        <v>45609</v>
      </c>
      <c r="M20" s="195" t="s">
        <v>118</v>
      </c>
      <c r="N20" s="200"/>
      <c r="O20" s="196" t="s">
        <v>35</v>
      </c>
      <c r="P20" s="195"/>
      <c r="Q20" s="200">
        <v>6608</v>
      </c>
      <c r="R20" s="287">
        <v>45834</v>
      </c>
      <c r="S20" s="290">
        <v>45821</v>
      </c>
      <c r="T20" s="260" t="s">
        <v>698</v>
      </c>
    </row>
    <row r="21" spans="1:20" x14ac:dyDescent="0.3">
      <c r="A21" s="233" t="s">
        <v>614</v>
      </c>
      <c r="B21" s="195"/>
      <c r="C21" s="195"/>
      <c r="D21" s="195" t="s">
        <v>615</v>
      </c>
      <c r="E21" s="195" t="s">
        <v>120</v>
      </c>
      <c r="F21" s="197">
        <v>45867</v>
      </c>
      <c r="G21" s="198">
        <v>335</v>
      </c>
      <c r="H21" s="199">
        <v>45602</v>
      </c>
      <c r="I21" s="200">
        <v>10845</v>
      </c>
      <c r="J21" s="200">
        <v>2169</v>
      </c>
      <c r="K21" s="196">
        <v>45615</v>
      </c>
      <c r="L21" s="300">
        <v>45614</v>
      </c>
      <c r="M21" s="195" t="s">
        <v>118</v>
      </c>
      <c r="N21" s="200">
        <v>2169</v>
      </c>
      <c r="O21" s="287">
        <v>45703</v>
      </c>
      <c r="P21" s="195"/>
      <c r="Q21" s="200">
        <v>6507</v>
      </c>
      <c r="R21" s="287">
        <v>45809</v>
      </c>
      <c r="S21" s="367">
        <v>20062025</v>
      </c>
      <c r="T21" s="260" t="s">
        <v>118</v>
      </c>
    </row>
    <row r="22" spans="1:20" x14ac:dyDescent="0.3">
      <c r="A22" t="s">
        <v>296</v>
      </c>
      <c r="B22" s="165"/>
      <c r="C22" s="192">
        <v>45601</v>
      </c>
      <c r="D22" t="s">
        <v>618</v>
      </c>
      <c r="E22" s="260" t="s">
        <v>120</v>
      </c>
      <c r="F22" s="223" t="s">
        <v>619</v>
      </c>
      <c r="G22" s="223">
        <v>337</v>
      </c>
      <c r="H22" s="224">
        <v>45607</v>
      </c>
      <c r="I22" s="193">
        <v>5600</v>
      </c>
      <c r="J22" s="193"/>
      <c r="K22" s="192" t="s">
        <v>35</v>
      </c>
      <c r="L22" s="192"/>
      <c r="M22" s="165"/>
      <c r="N22" s="193"/>
      <c r="O22" s="192" t="s">
        <v>35</v>
      </c>
      <c r="P22" s="165"/>
      <c r="Q22" s="193">
        <v>5600</v>
      </c>
      <c r="R22" s="192">
        <v>45621</v>
      </c>
    </row>
    <row r="23" spans="1:20" x14ac:dyDescent="0.3">
      <c r="A23" s="233" t="s">
        <v>165</v>
      </c>
      <c r="B23" s="195"/>
      <c r="C23" s="195"/>
      <c r="D23" s="195" t="s">
        <v>626</v>
      </c>
      <c r="E23" s="195" t="s">
        <v>120</v>
      </c>
      <c r="F23" s="198" t="s">
        <v>619</v>
      </c>
      <c r="G23" s="198">
        <v>340</v>
      </c>
      <c r="H23" s="199">
        <v>45611</v>
      </c>
      <c r="I23" s="200">
        <v>890</v>
      </c>
      <c r="J23" s="200"/>
      <c r="K23" s="196" t="s">
        <v>35</v>
      </c>
      <c r="L23" s="196"/>
      <c r="M23" s="195"/>
      <c r="N23" s="200"/>
      <c r="O23" s="196" t="s">
        <v>35</v>
      </c>
      <c r="P23" s="195"/>
      <c r="Q23" s="200">
        <v>890</v>
      </c>
      <c r="R23" s="195" t="s">
        <v>357</v>
      </c>
      <c r="S23" s="201">
        <v>45614</v>
      </c>
      <c r="T23" s="165" t="s">
        <v>363</v>
      </c>
    </row>
    <row r="24" spans="1:20" x14ac:dyDescent="0.3">
      <c r="A24" t="s">
        <v>387</v>
      </c>
      <c r="B24" s="165"/>
      <c r="C24" s="165"/>
      <c r="D24" t="s">
        <v>627</v>
      </c>
      <c r="E24" s="260" t="s">
        <v>120</v>
      </c>
      <c r="F24" s="223" t="s">
        <v>619</v>
      </c>
      <c r="G24" s="223">
        <v>341</v>
      </c>
      <c r="H24" s="224">
        <v>45611</v>
      </c>
      <c r="I24" s="193">
        <v>4550</v>
      </c>
      <c r="J24" s="193"/>
      <c r="K24" s="192" t="s">
        <v>35</v>
      </c>
      <c r="L24" s="192"/>
      <c r="M24" s="165"/>
      <c r="N24" s="193"/>
      <c r="O24" s="192" t="s">
        <v>35</v>
      </c>
      <c r="P24" s="165"/>
      <c r="Q24" s="193">
        <v>4450</v>
      </c>
      <c r="R24" s="192">
        <v>45627</v>
      </c>
      <c r="S24" s="165"/>
    </row>
    <row r="25" spans="1:20" ht="15" thickBot="1" x14ac:dyDescent="0.35">
      <c r="A25" s="234" t="s">
        <v>661</v>
      </c>
      <c r="B25" s="165"/>
      <c r="C25" s="165"/>
      <c r="D25" s="260" t="s">
        <v>662</v>
      </c>
      <c r="E25" s="260" t="s">
        <v>120</v>
      </c>
      <c r="F25" s="223">
        <v>2026</v>
      </c>
      <c r="G25" s="223">
        <v>357</v>
      </c>
      <c r="H25" s="224"/>
      <c r="I25" s="193">
        <v>9900</v>
      </c>
      <c r="J25" s="193">
        <v>1980</v>
      </c>
      <c r="K25" s="209">
        <v>45689</v>
      </c>
      <c r="L25" s="192"/>
      <c r="M25" s="165"/>
      <c r="N25" s="193">
        <v>1980</v>
      </c>
      <c r="O25" s="209">
        <v>45809</v>
      </c>
      <c r="P25" s="165"/>
      <c r="Q25" s="193">
        <v>5940</v>
      </c>
      <c r="R25" s="305">
        <v>46357</v>
      </c>
    </row>
    <row r="26" spans="1:20" ht="15" thickBot="1" x14ac:dyDescent="0.35">
      <c r="A26" s="10" t="s">
        <v>669</v>
      </c>
      <c r="B26" s="149"/>
      <c r="C26" s="149"/>
      <c r="D26" s="21" t="s">
        <v>670</v>
      </c>
      <c r="E26" s="149" t="s">
        <v>120</v>
      </c>
      <c r="F26" s="315">
        <v>45901</v>
      </c>
      <c r="G26" s="150">
        <v>360</v>
      </c>
      <c r="H26" s="151">
        <v>45653</v>
      </c>
      <c r="I26" s="152">
        <v>8100</v>
      </c>
      <c r="J26" s="152">
        <v>1620</v>
      </c>
      <c r="K26" s="316" t="s">
        <v>671</v>
      </c>
      <c r="L26" s="154">
        <v>45670</v>
      </c>
      <c r="M26" s="155"/>
      <c r="N26" s="156">
        <v>1620</v>
      </c>
      <c r="O26" s="157">
        <v>45731</v>
      </c>
      <c r="P26" s="155"/>
      <c r="Q26" s="156">
        <v>4860</v>
      </c>
      <c r="R26" s="306">
        <v>10872025</v>
      </c>
    </row>
    <row r="27" spans="1:20" ht="15" thickBot="1" x14ac:dyDescent="0.35">
      <c r="A27" s="161"/>
      <c r="B27" s="155"/>
      <c r="C27" s="155"/>
      <c r="D27" s="155"/>
      <c r="E27" s="155"/>
      <c r="F27" s="162"/>
      <c r="G27" s="162"/>
      <c r="H27" s="163"/>
      <c r="I27" s="156"/>
      <c r="J27" s="156"/>
      <c r="K27" s="159"/>
      <c r="L27" s="159"/>
      <c r="M27" s="155"/>
      <c r="N27" s="156"/>
      <c r="O27" s="159"/>
      <c r="P27" s="155"/>
      <c r="Q27" s="156"/>
      <c r="R27" s="155"/>
    </row>
    <row r="28" spans="1:20" ht="15" thickBot="1" x14ac:dyDescent="0.35">
      <c r="A28" s="161"/>
      <c r="B28" s="155"/>
      <c r="C28" s="155"/>
      <c r="D28" s="155"/>
      <c r="E28" s="155"/>
      <c r="F28" s="162"/>
      <c r="G28" s="162"/>
      <c r="H28" s="163"/>
      <c r="I28" s="156"/>
      <c r="J28" s="156"/>
      <c r="K28" s="159"/>
      <c r="L28" s="159"/>
      <c r="M28" s="155"/>
      <c r="N28" s="156"/>
      <c r="O28" s="159"/>
      <c r="P28" s="155"/>
      <c r="Q28" s="156"/>
      <c r="R28" s="155"/>
    </row>
    <row r="29" spans="1:20" ht="15" thickBot="1" x14ac:dyDescent="0.35">
      <c r="A29" s="161"/>
      <c r="B29" s="155"/>
      <c r="C29" s="155"/>
      <c r="D29" s="155"/>
      <c r="E29" s="155"/>
      <c r="F29" s="162"/>
      <c r="G29" s="162"/>
      <c r="H29" s="163"/>
      <c r="I29" s="156"/>
      <c r="J29" s="156"/>
      <c r="K29" s="159"/>
      <c r="L29" s="159"/>
      <c r="M29" s="155"/>
      <c r="N29" s="156"/>
      <c r="O29" s="159"/>
      <c r="P29" s="155"/>
      <c r="Q29" s="156"/>
      <c r="R29" s="155"/>
    </row>
    <row r="30" spans="1:20" ht="15" thickBot="1" x14ac:dyDescent="0.35">
      <c r="A30" s="161"/>
      <c r="B30" s="155"/>
      <c r="C30" s="155"/>
      <c r="D30" s="155"/>
      <c r="E30" s="155"/>
      <c r="F30" s="162"/>
      <c r="G30" s="162"/>
      <c r="H30" s="163"/>
      <c r="I30" s="156"/>
      <c r="J30" s="156"/>
      <c r="K30" s="159"/>
      <c r="L30" s="159"/>
      <c r="M30" s="155"/>
      <c r="N30" s="156"/>
      <c r="O30" s="159"/>
      <c r="P30" s="155"/>
      <c r="Q30" s="156"/>
      <c r="R30" s="155"/>
    </row>
    <row r="31" spans="1:20" ht="15" thickBot="1" x14ac:dyDescent="0.35">
      <c r="A31" s="161"/>
      <c r="B31" s="155"/>
      <c r="C31" s="155"/>
      <c r="D31" s="155"/>
      <c r="E31" s="155"/>
      <c r="F31" s="162"/>
      <c r="G31" s="162"/>
      <c r="H31" s="163"/>
      <c r="I31" s="156"/>
      <c r="J31" s="156"/>
      <c r="K31" s="159"/>
      <c r="L31" s="159"/>
      <c r="M31" s="155"/>
      <c r="N31" s="156"/>
      <c r="O31" s="159"/>
      <c r="P31" s="155"/>
      <c r="Q31" s="156"/>
      <c r="R31" s="155"/>
    </row>
    <row r="32" spans="1:20" ht="15" thickBot="1" x14ac:dyDescent="0.35">
      <c r="A32" s="161"/>
      <c r="B32" s="155"/>
      <c r="C32" s="155"/>
      <c r="D32" s="155"/>
      <c r="E32" s="155"/>
      <c r="F32" s="162"/>
      <c r="G32" s="162"/>
      <c r="H32" s="163"/>
      <c r="I32" s="156"/>
      <c r="J32" s="156"/>
      <c r="K32" s="159"/>
      <c r="L32" s="159"/>
      <c r="M32" s="155"/>
      <c r="N32" s="156"/>
      <c r="O32" s="159"/>
      <c r="P32" s="155"/>
      <c r="Q32" s="156"/>
      <c r="R32" s="155"/>
    </row>
  </sheetData>
  <pageMargins left="0.7" right="0.7" top="0.78740157499999996" bottom="0.78740157499999996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pane ySplit="1" topLeftCell="A35" activePane="bottomLeft" state="frozen"/>
      <selection pane="bottomLeft" activeCell="J57" sqref="J57"/>
    </sheetView>
  </sheetViews>
  <sheetFormatPr baseColWidth="10" defaultRowHeight="14.4" x14ac:dyDescent="0.3"/>
  <cols>
    <col min="1" max="1" width="22" bestFit="1" customWidth="1"/>
    <col min="2" max="2" width="23.88671875" bestFit="1" customWidth="1"/>
    <col min="4" max="4" width="60.88671875" customWidth="1"/>
    <col min="6" max="6" width="11.5546875" style="7"/>
    <col min="8" max="8" width="13" bestFit="1" customWidth="1"/>
    <col min="9" max="9" width="11.5546875" style="1"/>
    <col min="10" max="10" width="11.5546875" style="2"/>
  </cols>
  <sheetData>
    <row r="1" spans="1:12" x14ac:dyDescent="0.3">
      <c r="A1" t="s">
        <v>5</v>
      </c>
      <c r="B1" t="s">
        <v>0</v>
      </c>
      <c r="C1" t="s">
        <v>1</v>
      </c>
      <c r="D1" t="s">
        <v>16</v>
      </c>
      <c r="E1" t="s">
        <v>9</v>
      </c>
      <c r="F1" s="7" t="s">
        <v>7</v>
      </c>
      <c r="G1" t="s">
        <v>1</v>
      </c>
      <c r="H1" s="2" t="s">
        <v>2</v>
      </c>
      <c r="I1" s="1" t="s">
        <v>3</v>
      </c>
      <c r="J1" s="2" t="s">
        <v>18</v>
      </c>
    </row>
    <row r="3" spans="1:12" x14ac:dyDescent="0.3">
      <c r="A3" s="10" t="s">
        <v>36</v>
      </c>
      <c r="B3" s="10" t="s">
        <v>77</v>
      </c>
      <c r="C3" s="10"/>
      <c r="D3" s="10" t="s">
        <v>37</v>
      </c>
      <c r="E3" s="6">
        <v>45552</v>
      </c>
      <c r="F3" s="18">
        <v>116</v>
      </c>
      <c r="G3" s="6">
        <v>45307</v>
      </c>
      <c r="H3" s="4">
        <v>878.4</v>
      </c>
      <c r="I3" s="6">
        <v>45331</v>
      </c>
      <c r="J3" s="4">
        <v>1317.6</v>
      </c>
      <c r="K3" s="2"/>
      <c r="L3" s="1"/>
    </row>
    <row r="4" spans="1:12" x14ac:dyDescent="0.3">
      <c r="A4" s="10" t="s">
        <v>38</v>
      </c>
      <c r="B4" s="10" t="s">
        <v>77</v>
      </c>
      <c r="C4" s="10"/>
      <c r="D4" s="10" t="s">
        <v>37</v>
      </c>
      <c r="E4" s="6">
        <v>45552</v>
      </c>
      <c r="F4" s="18">
        <v>117</v>
      </c>
      <c r="G4" s="6">
        <v>45307</v>
      </c>
      <c r="H4" s="4">
        <v>878.4</v>
      </c>
      <c r="I4" s="6">
        <v>45330</v>
      </c>
      <c r="J4" s="4">
        <v>1317.6</v>
      </c>
      <c r="K4" s="2"/>
      <c r="L4" s="1"/>
    </row>
    <row r="5" spans="1:12" x14ac:dyDescent="0.3">
      <c r="A5" s="10" t="s">
        <v>41</v>
      </c>
      <c r="B5" s="10" t="s">
        <v>77</v>
      </c>
      <c r="C5" s="10"/>
      <c r="D5" s="10" t="s">
        <v>42</v>
      </c>
      <c r="E5" s="6">
        <v>45352</v>
      </c>
      <c r="F5" s="18">
        <v>120</v>
      </c>
      <c r="G5" s="6">
        <v>45310</v>
      </c>
      <c r="H5" s="4">
        <v>339.2</v>
      </c>
      <c r="I5" s="6">
        <v>45323</v>
      </c>
      <c r="J5" s="4">
        <v>508.8</v>
      </c>
    </row>
    <row r="6" spans="1:12" x14ac:dyDescent="0.3">
      <c r="A6" s="10" t="s">
        <v>47</v>
      </c>
      <c r="B6" s="10" t="s">
        <v>77</v>
      </c>
      <c r="C6" s="10"/>
      <c r="D6" s="10" t="s">
        <v>48</v>
      </c>
      <c r="E6" s="6">
        <v>45355</v>
      </c>
      <c r="F6" s="18">
        <v>123</v>
      </c>
      <c r="G6" s="6">
        <v>45315</v>
      </c>
      <c r="H6" s="4">
        <v>695.6</v>
      </c>
      <c r="I6" s="6"/>
      <c r="J6" s="23">
        <v>1043.4000000000001</v>
      </c>
    </row>
    <row r="7" spans="1:12" x14ac:dyDescent="0.3">
      <c r="A7" t="s">
        <v>55</v>
      </c>
      <c r="B7" t="s">
        <v>77</v>
      </c>
      <c r="D7" t="s">
        <v>56</v>
      </c>
      <c r="E7" s="1">
        <v>46193</v>
      </c>
      <c r="F7" s="7">
        <v>127</v>
      </c>
      <c r="G7" s="1">
        <v>45316</v>
      </c>
      <c r="H7" s="2">
        <v>332</v>
      </c>
      <c r="I7" s="1">
        <v>45332</v>
      </c>
      <c r="J7" s="2">
        <v>498</v>
      </c>
    </row>
    <row r="8" spans="1:12" x14ac:dyDescent="0.3">
      <c r="A8" s="10" t="s">
        <v>59</v>
      </c>
      <c r="B8" s="10" t="s">
        <v>77</v>
      </c>
      <c r="C8" s="10"/>
      <c r="D8" s="10" t="s">
        <v>37</v>
      </c>
      <c r="E8" s="6">
        <v>45500</v>
      </c>
      <c r="F8" s="18">
        <v>129</v>
      </c>
      <c r="G8" s="6">
        <v>45329</v>
      </c>
      <c r="H8" s="4">
        <v>360</v>
      </c>
      <c r="I8" s="6">
        <v>45342</v>
      </c>
      <c r="J8" s="4">
        <v>540</v>
      </c>
      <c r="K8" t="s">
        <v>136</v>
      </c>
    </row>
    <row r="9" spans="1:12" x14ac:dyDescent="0.3">
      <c r="A9" s="10" t="s">
        <v>14</v>
      </c>
      <c r="B9" s="10" t="s">
        <v>77</v>
      </c>
      <c r="C9" s="6">
        <v>45327</v>
      </c>
      <c r="D9" s="10" t="s">
        <v>17</v>
      </c>
      <c r="E9" s="6">
        <v>45474</v>
      </c>
      <c r="F9" s="18">
        <v>131</v>
      </c>
      <c r="G9" s="6">
        <v>45331</v>
      </c>
      <c r="H9" s="4">
        <v>254</v>
      </c>
      <c r="I9" s="6">
        <v>45345</v>
      </c>
      <c r="J9" s="4">
        <v>381</v>
      </c>
      <c r="K9" t="s">
        <v>115</v>
      </c>
    </row>
    <row r="10" spans="1:12" x14ac:dyDescent="0.3">
      <c r="A10" s="10" t="s">
        <v>70</v>
      </c>
      <c r="B10" s="10" t="s">
        <v>77</v>
      </c>
      <c r="C10" s="6">
        <v>45328</v>
      </c>
      <c r="D10" s="19" t="s">
        <v>71</v>
      </c>
      <c r="E10" s="6">
        <v>45425</v>
      </c>
      <c r="F10" s="18">
        <v>138</v>
      </c>
      <c r="G10" s="6">
        <v>45336</v>
      </c>
      <c r="H10" s="4">
        <v>288.39999999999998</v>
      </c>
      <c r="I10" s="6">
        <v>45352</v>
      </c>
      <c r="J10" s="4">
        <v>425.6</v>
      </c>
      <c r="K10" t="s">
        <v>115</v>
      </c>
    </row>
    <row r="11" spans="1:12" x14ac:dyDescent="0.3">
      <c r="A11" s="10" t="s">
        <v>73</v>
      </c>
      <c r="B11" s="10"/>
      <c r="C11" s="10"/>
      <c r="D11" s="10" t="s">
        <v>74</v>
      </c>
      <c r="E11" s="6">
        <v>45563</v>
      </c>
      <c r="F11" s="18">
        <v>140</v>
      </c>
      <c r="G11" s="6">
        <v>45337</v>
      </c>
      <c r="H11" s="4">
        <v>432</v>
      </c>
      <c r="I11" s="6">
        <v>45352</v>
      </c>
      <c r="J11" s="4">
        <v>738</v>
      </c>
      <c r="K11" t="s">
        <v>115</v>
      </c>
    </row>
    <row r="12" spans="1:12" x14ac:dyDescent="0.3">
      <c r="A12" s="10" t="s">
        <v>76</v>
      </c>
      <c r="B12" s="10" t="s">
        <v>77</v>
      </c>
      <c r="C12" s="6">
        <v>45322</v>
      </c>
      <c r="D12" s="19" t="s">
        <v>71</v>
      </c>
      <c r="E12" s="6">
        <v>45420</v>
      </c>
      <c r="F12" s="18">
        <v>142</v>
      </c>
      <c r="G12" s="6">
        <v>45337</v>
      </c>
      <c r="H12" s="4">
        <v>265.2</v>
      </c>
      <c r="I12" s="6">
        <v>45352</v>
      </c>
      <c r="J12" s="4">
        <v>391.8</v>
      </c>
      <c r="K12" t="s">
        <v>115</v>
      </c>
    </row>
    <row r="13" spans="1:12" x14ac:dyDescent="0.3">
      <c r="A13" s="10" t="s">
        <v>79</v>
      </c>
      <c r="B13" s="10" t="s">
        <v>77</v>
      </c>
      <c r="C13" s="6"/>
      <c r="D13" s="10" t="s">
        <v>74</v>
      </c>
      <c r="E13" s="6">
        <v>45385</v>
      </c>
      <c r="F13" s="18">
        <v>143</v>
      </c>
      <c r="G13" s="6">
        <v>45337</v>
      </c>
      <c r="H13" s="4">
        <v>332</v>
      </c>
      <c r="I13" s="6">
        <v>45292</v>
      </c>
      <c r="J13" s="4">
        <v>498</v>
      </c>
      <c r="K13" t="s">
        <v>115</v>
      </c>
    </row>
    <row r="14" spans="1:12" x14ac:dyDescent="0.3">
      <c r="A14" s="24" t="s">
        <v>108</v>
      </c>
      <c r="B14" s="10" t="s">
        <v>77</v>
      </c>
      <c r="C14" s="6">
        <v>45334</v>
      </c>
      <c r="D14" s="19" t="s">
        <v>71</v>
      </c>
      <c r="E14" s="17">
        <v>45493</v>
      </c>
      <c r="F14" s="18">
        <v>156</v>
      </c>
      <c r="G14" s="6">
        <v>45349</v>
      </c>
      <c r="H14" s="4">
        <v>267.60000000000002</v>
      </c>
      <c r="I14" s="6">
        <v>45357</v>
      </c>
      <c r="J14" s="4">
        <v>401.4</v>
      </c>
      <c r="K14" t="s">
        <v>115</v>
      </c>
    </row>
    <row r="15" spans="1:12" x14ac:dyDescent="0.3">
      <c r="A15" s="27" t="s">
        <v>134</v>
      </c>
      <c r="B15" s="10" t="s">
        <v>77</v>
      </c>
      <c r="C15" s="6">
        <v>45362</v>
      </c>
      <c r="D15" s="22" t="s">
        <v>135</v>
      </c>
      <c r="E15" s="17">
        <v>45474</v>
      </c>
      <c r="F15" s="18">
        <v>166</v>
      </c>
      <c r="G15" s="6">
        <v>45367</v>
      </c>
      <c r="H15" s="4">
        <v>258.8</v>
      </c>
      <c r="I15" s="4">
        <v>45381</v>
      </c>
      <c r="J15" s="4">
        <v>388.2</v>
      </c>
    </row>
    <row r="16" spans="1:12" x14ac:dyDescent="0.3">
      <c r="A16" s="10" t="s">
        <v>139</v>
      </c>
      <c r="B16" s="10" t="s">
        <v>77</v>
      </c>
      <c r="C16" s="6">
        <v>45358</v>
      </c>
      <c r="D16" s="10" t="s">
        <v>71</v>
      </c>
      <c r="E16" s="6">
        <v>45479</v>
      </c>
      <c r="F16" s="18">
        <v>169</v>
      </c>
      <c r="G16" s="6">
        <v>45367</v>
      </c>
      <c r="H16" s="4">
        <v>320.8</v>
      </c>
      <c r="I16" s="6">
        <v>45415</v>
      </c>
      <c r="J16" s="4">
        <v>424.2</v>
      </c>
      <c r="K16" t="s">
        <v>115</v>
      </c>
    </row>
    <row r="17" spans="1:13" x14ac:dyDescent="0.3">
      <c r="A17" s="21" t="s">
        <v>141</v>
      </c>
      <c r="B17" s="10" t="s">
        <v>77</v>
      </c>
      <c r="C17" s="6">
        <v>45361</v>
      </c>
      <c r="D17" s="10" t="s">
        <v>71</v>
      </c>
      <c r="E17" s="17">
        <v>45492</v>
      </c>
      <c r="F17" s="96">
        <v>170</v>
      </c>
      <c r="G17" s="17">
        <v>45371</v>
      </c>
      <c r="H17" s="97">
        <v>535.6</v>
      </c>
      <c r="I17" s="6">
        <v>45383</v>
      </c>
      <c r="J17" s="4">
        <v>803.4</v>
      </c>
      <c r="K17" t="s">
        <v>115</v>
      </c>
    </row>
    <row r="18" spans="1:13" x14ac:dyDescent="0.3">
      <c r="A18" s="3" t="s">
        <v>160</v>
      </c>
      <c r="B18" s="10"/>
      <c r="C18" s="10"/>
      <c r="D18" s="21" t="s">
        <v>161</v>
      </c>
      <c r="E18" s="6">
        <v>45537</v>
      </c>
      <c r="F18" s="18">
        <v>171</v>
      </c>
      <c r="G18" s="6">
        <v>45378</v>
      </c>
      <c r="H18" s="4">
        <v>332</v>
      </c>
      <c r="I18" s="6">
        <v>45391</v>
      </c>
      <c r="J18" s="4">
        <v>498</v>
      </c>
      <c r="K18" s="1"/>
    </row>
    <row r="19" spans="1:13" x14ac:dyDescent="0.3">
      <c r="A19" s="21" t="s">
        <v>177</v>
      </c>
      <c r="B19" s="10" t="s">
        <v>77</v>
      </c>
      <c r="C19" s="6">
        <v>45379</v>
      </c>
      <c r="D19" s="10" t="s">
        <v>71</v>
      </c>
      <c r="E19" s="6">
        <v>45494</v>
      </c>
      <c r="F19" s="18">
        <v>179</v>
      </c>
      <c r="G19" s="6">
        <v>45388</v>
      </c>
      <c r="H19" s="4">
        <v>275.2</v>
      </c>
      <c r="I19" s="6">
        <v>45402</v>
      </c>
      <c r="J19" s="4">
        <v>412.8</v>
      </c>
      <c r="K19" t="s">
        <v>115</v>
      </c>
    </row>
    <row r="20" spans="1:13" x14ac:dyDescent="0.3">
      <c r="A20" s="21" t="s">
        <v>180</v>
      </c>
      <c r="B20" s="10" t="s">
        <v>77</v>
      </c>
      <c r="C20" s="6">
        <v>45391</v>
      </c>
      <c r="D20" s="10" t="s">
        <v>71</v>
      </c>
      <c r="E20" s="6">
        <v>45472</v>
      </c>
      <c r="F20" s="18">
        <v>181</v>
      </c>
      <c r="G20" s="6">
        <v>45391</v>
      </c>
      <c r="H20" s="4">
        <v>522.79999999999995</v>
      </c>
      <c r="I20" s="6">
        <v>45402</v>
      </c>
      <c r="J20" s="4">
        <v>784.2</v>
      </c>
    </row>
    <row r="21" spans="1:13" x14ac:dyDescent="0.3">
      <c r="A21" s="27" t="s">
        <v>182</v>
      </c>
      <c r="B21" s="10" t="s">
        <v>77</v>
      </c>
      <c r="C21" s="6">
        <v>45392</v>
      </c>
      <c r="D21" s="10" t="s">
        <v>71</v>
      </c>
      <c r="E21" s="6">
        <v>45473</v>
      </c>
      <c r="F21" s="18">
        <v>182</v>
      </c>
      <c r="G21" s="6">
        <v>45545</v>
      </c>
      <c r="H21" s="4">
        <v>339.6</v>
      </c>
      <c r="I21" s="6">
        <v>45402</v>
      </c>
      <c r="J21" s="4">
        <v>509.4</v>
      </c>
    </row>
    <row r="22" spans="1:13" x14ac:dyDescent="0.3">
      <c r="A22" s="10" t="s">
        <v>185</v>
      </c>
      <c r="B22" s="10"/>
      <c r="C22" s="10"/>
      <c r="D22" s="10" t="s">
        <v>186</v>
      </c>
      <c r="E22" s="6">
        <v>45496</v>
      </c>
      <c r="F22" s="18">
        <v>183</v>
      </c>
      <c r="G22" s="6">
        <v>45401</v>
      </c>
      <c r="H22" s="4">
        <v>292</v>
      </c>
      <c r="I22" s="6">
        <v>45412</v>
      </c>
      <c r="J22" s="4">
        <v>438</v>
      </c>
      <c r="K22" t="s">
        <v>115</v>
      </c>
    </row>
    <row r="23" spans="1:13" x14ac:dyDescent="0.3">
      <c r="A23" s="10" t="s">
        <v>191</v>
      </c>
      <c r="B23" s="10"/>
      <c r="C23" s="6">
        <v>45402</v>
      </c>
      <c r="D23" s="21" t="s">
        <v>192</v>
      </c>
      <c r="E23" s="6">
        <v>45417</v>
      </c>
      <c r="F23" s="18">
        <v>187</v>
      </c>
      <c r="G23" s="6">
        <v>45402</v>
      </c>
      <c r="H23" s="4">
        <v>292</v>
      </c>
      <c r="I23" s="6">
        <v>45407</v>
      </c>
      <c r="J23" s="4">
        <v>438</v>
      </c>
      <c r="K23" s="1">
        <v>45405</v>
      </c>
    </row>
    <row r="24" spans="1:13" x14ac:dyDescent="0.3">
      <c r="A24" s="11" t="s">
        <v>183</v>
      </c>
      <c r="C24" s="1">
        <v>45402</v>
      </c>
      <c r="D24" t="s">
        <v>193</v>
      </c>
      <c r="E24" s="1">
        <v>45565</v>
      </c>
      <c r="F24" s="7">
        <v>188</v>
      </c>
      <c r="G24" s="1">
        <v>45402</v>
      </c>
      <c r="H24" s="2">
        <v>67.2</v>
      </c>
      <c r="I24" s="1">
        <v>45416</v>
      </c>
      <c r="J24" s="2">
        <v>100.8</v>
      </c>
      <c r="K24" s="2">
        <v>996</v>
      </c>
      <c r="L24" t="s">
        <v>194</v>
      </c>
      <c r="M24" s="2">
        <f>+J24+K24</f>
        <v>1096.8</v>
      </c>
    </row>
    <row r="25" spans="1:13" x14ac:dyDescent="0.3">
      <c r="A25" s="27" t="s">
        <v>204</v>
      </c>
      <c r="B25" s="10" t="s">
        <v>77</v>
      </c>
      <c r="C25" s="6">
        <v>45406</v>
      </c>
      <c r="D25" s="22" t="s">
        <v>205</v>
      </c>
      <c r="E25" s="6">
        <v>45479</v>
      </c>
      <c r="F25" s="18">
        <v>194</v>
      </c>
      <c r="G25" s="6">
        <v>45408</v>
      </c>
      <c r="H25" s="4">
        <v>534.79999999999995</v>
      </c>
      <c r="I25" s="6">
        <v>45420</v>
      </c>
      <c r="J25" s="4">
        <v>802.2</v>
      </c>
      <c r="K25" t="s">
        <v>115</v>
      </c>
    </row>
    <row r="26" spans="1:13" x14ac:dyDescent="0.3">
      <c r="A26" s="27" t="s">
        <v>214</v>
      </c>
      <c r="B26" s="10" t="s">
        <v>77</v>
      </c>
      <c r="C26" s="6">
        <v>45408</v>
      </c>
      <c r="D26" s="93" t="s">
        <v>215</v>
      </c>
      <c r="E26" s="6">
        <v>45488</v>
      </c>
      <c r="F26" s="18">
        <v>201</v>
      </c>
      <c r="G26" s="6">
        <v>45414</v>
      </c>
      <c r="H26" s="4">
        <v>787.6</v>
      </c>
      <c r="I26" s="6">
        <v>45429</v>
      </c>
      <c r="J26" s="4">
        <v>1181.4000000000001</v>
      </c>
      <c r="K26" t="s">
        <v>115</v>
      </c>
    </row>
    <row r="27" spans="1:13" x14ac:dyDescent="0.3">
      <c r="A27" s="27" t="s">
        <v>220</v>
      </c>
      <c r="B27" s="10" t="s">
        <v>77</v>
      </c>
      <c r="C27" s="6">
        <v>45412</v>
      </c>
      <c r="D27" s="93" t="s">
        <v>221</v>
      </c>
      <c r="E27" s="17">
        <v>45473</v>
      </c>
      <c r="F27" s="18">
        <v>204</v>
      </c>
      <c r="G27" s="6">
        <v>45419</v>
      </c>
      <c r="H27" s="4">
        <v>261.60000000000002</v>
      </c>
      <c r="I27" s="6">
        <v>45433</v>
      </c>
      <c r="J27" s="4">
        <v>392.4</v>
      </c>
      <c r="K27" t="s">
        <v>115</v>
      </c>
    </row>
    <row r="28" spans="1:13" x14ac:dyDescent="0.3">
      <c r="A28" s="27" t="s">
        <v>222</v>
      </c>
      <c r="B28" s="10" t="s">
        <v>77</v>
      </c>
      <c r="C28" s="6">
        <v>45408</v>
      </c>
      <c r="D28" s="93" t="s">
        <v>223</v>
      </c>
      <c r="E28" s="17">
        <v>45439</v>
      </c>
      <c r="F28" s="18">
        <v>205</v>
      </c>
      <c r="G28" s="6">
        <v>45419</v>
      </c>
      <c r="H28" s="4">
        <v>637.20000000000005</v>
      </c>
      <c r="I28" s="6">
        <v>45433</v>
      </c>
      <c r="J28" s="4">
        <v>955.8</v>
      </c>
    </row>
    <row r="29" spans="1:13" x14ac:dyDescent="0.3">
      <c r="A29" s="10" t="s">
        <v>224</v>
      </c>
      <c r="B29" s="10" t="s">
        <v>77</v>
      </c>
      <c r="C29" s="6">
        <v>45406</v>
      </c>
      <c r="D29" s="10" t="s">
        <v>225</v>
      </c>
      <c r="E29" s="6">
        <v>45513</v>
      </c>
      <c r="F29" s="18">
        <v>206</v>
      </c>
      <c r="G29" s="6">
        <v>45419</v>
      </c>
      <c r="H29" s="4">
        <v>274.39999999999998</v>
      </c>
      <c r="I29" s="6">
        <v>45433</v>
      </c>
      <c r="J29" s="4">
        <v>411.6</v>
      </c>
      <c r="K29" t="s">
        <v>115</v>
      </c>
    </row>
    <row r="30" spans="1:13" x14ac:dyDescent="0.3">
      <c r="A30" s="27" t="s">
        <v>228</v>
      </c>
      <c r="B30" s="10"/>
      <c r="C30" s="10"/>
      <c r="D30" s="93" t="s">
        <v>229</v>
      </c>
      <c r="E30" s="6">
        <v>45492</v>
      </c>
      <c r="F30" s="96">
        <v>208</v>
      </c>
      <c r="G30" s="17">
        <v>45422</v>
      </c>
      <c r="H30" s="4">
        <v>398</v>
      </c>
      <c r="I30" s="6">
        <v>45436</v>
      </c>
      <c r="J30" s="4">
        <v>597</v>
      </c>
      <c r="K30" t="s">
        <v>115</v>
      </c>
    </row>
    <row r="31" spans="1:13" x14ac:dyDescent="0.3">
      <c r="A31" s="119" t="s">
        <v>301</v>
      </c>
      <c r="B31" s="120" t="s">
        <v>77</v>
      </c>
      <c r="C31" s="121">
        <v>45428</v>
      </c>
      <c r="D31" s="120" t="s">
        <v>302</v>
      </c>
      <c r="E31" s="122">
        <v>45477</v>
      </c>
      <c r="F31" s="123">
        <v>215</v>
      </c>
      <c r="G31" s="122">
        <v>45434</v>
      </c>
      <c r="H31" s="124">
        <v>316.8</v>
      </c>
      <c r="I31" s="121">
        <v>45446</v>
      </c>
      <c r="J31" s="124">
        <v>475.2</v>
      </c>
      <c r="K31" t="s">
        <v>115</v>
      </c>
    </row>
    <row r="32" spans="1:13" x14ac:dyDescent="0.3">
      <c r="A32" t="s">
        <v>308</v>
      </c>
      <c r="B32" t="s">
        <v>77</v>
      </c>
      <c r="D32" t="s">
        <v>309</v>
      </c>
      <c r="E32" s="1">
        <v>45582</v>
      </c>
      <c r="F32" s="7">
        <v>218</v>
      </c>
      <c r="G32" s="1">
        <v>45439</v>
      </c>
      <c r="H32" s="2">
        <v>252.8</v>
      </c>
      <c r="I32" s="1">
        <v>45448</v>
      </c>
      <c r="J32" s="2">
        <v>379.2</v>
      </c>
    </row>
    <row r="33" spans="1:11" x14ac:dyDescent="0.3">
      <c r="A33" s="10" t="s">
        <v>328</v>
      </c>
      <c r="B33" s="10"/>
      <c r="C33" s="10"/>
      <c r="D33" s="10" t="s">
        <v>329</v>
      </c>
      <c r="E33" s="6">
        <v>45543</v>
      </c>
      <c r="F33" s="18">
        <v>221</v>
      </c>
      <c r="G33" s="6">
        <v>45447</v>
      </c>
      <c r="H33" s="4">
        <v>263.60000000000002</v>
      </c>
      <c r="I33" s="6">
        <v>45458</v>
      </c>
      <c r="J33" s="4">
        <v>431.4</v>
      </c>
      <c r="K33" t="s">
        <v>115</v>
      </c>
    </row>
    <row r="34" spans="1:11" ht="15.6" x14ac:dyDescent="0.3">
      <c r="A34" s="146" t="s">
        <v>334</v>
      </c>
      <c r="B34" s="10"/>
      <c r="C34" s="10"/>
      <c r="D34" s="21" t="s">
        <v>335</v>
      </c>
      <c r="E34" s="17">
        <v>45531</v>
      </c>
      <c r="F34" s="18">
        <v>224</v>
      </c>
      <c r="G34" s="6">
        <v>45455</v>
      </c>
      <c r="H34" s="4">
        <v>428</v>
      </c>
      <c r="I34" s="6">
        <v>45469</v>
      </c>
      <c r="J34" s="4">
        <v>632</v>
      </c>
      <c r="K34" t="s">
        <v>115</v>
      </c>
    </row>
    <row r="35" spans="1:11" x14ac:dyDescent="0.3">
      <c r="A35" s="21" t="s">
        <v>361</v>
      </c>
      <c r="B35" s="10"/>
      <c r="C35" s="10"/>
      <c r="D35" s="10" t="s">
        <v>75</v>
      </c>
      <c r="E35" s="17">
        <v>45465</v>
      </c>
      <c r="F35" s="18">
        <v>225</v>
      </c>
      <c r="G35" s="6">
        <v>45458</v>
      </c>
      <c r="H35" s="4">
        <v>276</v>
      </c>
      <c r="I35" s="6">
        <v>45460</v>
      </c>
      <c r="J35" s="4">
        <v>414</v>
      </c>
      <c r="K35" t="s">
        <v>362</v>
      </c>
    </row>
    <row r="36" spans="1:11" x14ac:dyDescent="0.3">
      <c r="A36" s="21" t="s">
        <v>346</v>
      </c>
      <c r="B36" s="10" t="s">
        <v>77</v>
      </c>
      <c r="C36" s="6">
        <v>45447</v>
      </c>
      <c r="D36" s="93" t="s">
        <v>348</v>
      </c>
      <c r="E36" s="6">
        <v>45534</v>
      </c>
      <c r="F36" s="18">
        <v>228</v>
      </c>
      <c r="G36" s="6">
        <v>45456</v>
      </c>
      <c r="H36" s="4">
        <v>316.8</v>
      </c>
      <c r="I36" s="6">
        <v>45470</v>
      </c>
      <c r="J36" s="4">
        <v>475.2</v>
      </c>
      <c r="K36" t="s">
        <v>115</v>
      </c>
    </row>
    <row r="37" spans="1:11" x14ac:dyDescent="0.3">
      <c r="A37" s="10" t="s">
        <v>358</v>
      </c>
      <c r="B37" s="10" t="s">
        <v>77</v>
      </c>
      <c r="C37" s="6">
        <v>45458</v>
      </c>
      <c r="D37" s="22" t="s">
        <v>359</v>
      </c>
      <c r="E37" s="6">
        <v>45467</v>
      </c>
      <c r="F37" s="18">
        <v>233</v>
      </c>
      <c r="G37" s="6">
        <v>45460</v>
      </c>
      <c r="H37" s="4">
        <v>254.8</v>
      </c>
      <c r="I37" s="6" t="s">
        <v>357</v>
      </c>
      <c r="J37" s="4">
        <v>382.2</v>
      </c>
      <c r="K37" t="s">
        <v>115</v>
      </c>
    </row>
    <row r="38" spans="1:11" x14ac:dyDescent="0.3">
      <c r="A38" s="100" t="s">
        <v>369</v>
      </c>
      <c r="B38" s="10" t="s">
        <v>77</v>
      </c>
      <c r="C38" s="6">
        <v>45460</v>
      </c>
      <c r="D38" s="22" t="s">
        <v>370</v>
      </c>
      <c r="E38" s="6">
        <v>45499</v>
      </c>
      <c r="F38" s="18">
        <v>236</v>
      </c>
      <c r="G38" s="6">
        <v>45463</v>
      </c>
      <c r="H38" s="4">
        <v>252</v>
      </c>
      <c r="I38" s="6">
        <v>45477</v>
      </c>
      <c r="J38" s="4">
        <v>378</v>
      </c>
      <c r="K38" t="s">
        <v>115</v>
      </c>
    </row>
    <row r="39" spans="1:11" x14ac:dyDescent="0.3">
      <c r="A39" s="21" t="s">
        <v>379</v>
      </c>
      <c r="B39" s="10" t="s">
        <v>77</v>
      </c>
      <c r="C39" s="6">
        <v>45461</v>
      </c>
      <c r="D39" s="10" t="s">
        <v>380</v>
      </c>
      <c r="E39" s="6">
        <v>45513</v>
      </c>
      <c r="F39" s="18">
        <v>238</v>
      </c>
      <c r="G39" s="6">
        <v>45468</v>
      </c>
      <c r="H39" s="4">
        <v>320.39999999999998</v>
      </c>
      <c r="I39" s="6"/>
      <c r="J39" s="4">
        <v>480.6</v>
      </c>
      <c r="K39" t="s">
        <v>115</v>
      </c>
    </row>
    <row r="40" spans="1:11" x14ac:dyDescent="0.3">
      <c r="A40" s="10" t="s">
        <v>382</v>
      </c>
      <c r="B40" s="10"/>
      <c r="C40" s="6"/>
      <c r="D40" s="21" t="s">
        <v>192</v>
      </c>
      <c r="E40" s="6">
        <v>45569</v>
      </c>
      <c r="F40" s="18">
        <v>241</v>
      </c>
      <c r="G40" s="6">
        <v>45468</v>
      </c>
      <c r="H40" s="4">
        <v>292</v>
      </c>
      <c r="I40" s="6">
        <v>45470</v>
      </c>
      <c r="J40" s="4">
        <v>498</v>
      </c>
      <c r="K40" t="s">
        <v>115</v>
      </c>
    </row>
    <row r="41" spans="1:11" x14ac:dyDescent="0.3">
      <c r="A41" s="27" t="s">
        <v>395</v>
      </c>
      <c r="B41" s="10" t="s">
        <v>77</v>
      </c>
      <c r="C41" s="6">
        <v>45481</v>
      </c>
      <c r="D41" s="126" t="s">
        <v>396</v>
      </c>
      <c r="E41" s="6">
        <v>45483</v>
      </c>
      <c r="F41" s="18">
        <v>244</v>
      </c>
      <c r="G41" s="6">
        <v>45481</v>
      </c>
      <c r="H41" s="4">
        <v>251.6</v>
      </c>
      <c r="I41" s="6"/>
      <c r="J41" s="4">
        <v>377.4</v>
      </c>
      <c r="K41" t="s">
        <v>115</v>
      </c>
    </row>
    <row r="42" spans="1:11" x14ac:dyDescent="0.3">
      <c r="A42" s="27" t="s">
        <v>397</v>
      </c>
      <c r="B42" s="10" t="s">
        <v>77</v>
      </c>
      <c r="C42" s="6">
        <v>45481</v>
      </c>
      <c r="D42" s="10" t="s">
        <v>398</v>
      </c>
      <c r="E42" s="6">
        <v>45541</v>
      </c>
      <c r="F42" s="18">
        <v>245</v>
      </c>
      <c r="G42" s="6">
        <v>45482</v>
      </c>
      <c r="H42" s="4">
        <v>812.4</v>
      </c>
      <c r="I42" s="6">
        <v>45496</v>
      </c>
      <c r="J42" s="4">
        <v>693.6</v>
      </c>
      <c r="K42" t="s">
        <v>115</v>
      </c>
    </row>
    <row r="43" spans="1:11" x14ac:dyDescent="0.3">
      <c r="A43" s="119" t="s">
        <v>400</v>
      </c>
      <c r="B43" s="120" t="s">
        <v>77</v>
      </c>
      <c r="C43" s="121">
        <v>45477</v>
      </c>
      <c r="D43" s="148" t="s">
        <v>359</v>
      </c>
      <c r="E43" s="121">
        <v>45536</v>
      </c>
      <c r="F43" s="123">
        <v>246</v>
      </c>
      <c r="G43" s="121">
        <v>45482</v>
      </c>
      <c r="H43" s="124">
        <v>264.39999999999998</v>
      </c>
      <c r="I43" s="121">
        <v>45496</v>
      </c>
      <c r="J43" s="124">
        <v>396.6</v>
      </c>
      <c r="K43" t="s">
        <v>505</v>
      </c>
    </row>
    <row r="44" spans="1:11" x14ac:dyDescent="0.3">
      <c r="A44" s="21" t="s">
        <v>403</v>
      </c>
      <c r="B44" s="10" t="s">
        <v>77</v>
      </c>
      <c r="C44" s="6">
        <v>45478</v>
      </c>
      <c r="D44" s="10" t="s">
        <v>404</v>
      </c>
      <c r="E44" s="6">
        <v>45536</v>
      </c>
      <c r="F44" s="18">
        <v>248</v>
      </c>
      <c r="G44" s="6">
        <v>45482</v>
      </c>
      <c r="H44" s="4">
        <v>857.2</v>
      </c>
      <c r="I44" s="6">
        <v>45496</v>
      </c>
      <c r="J44" s="4">
        <v>1285.8</v>
      </c>
      <c r="K44" t="s">
        <v>115</v>
      </c>
    </row>
    <row r="45" spans="1:11" x14ac:dyDescent="0.3">
      <c r="A45" s="100" t="s">
        <v>428</v>
      </c>
      <c r="B45" s="10" t="s">
        <v>77</v>
      </c>
      <c r="C45" s="6">
        <v>45406</v>
      </c>
      <c r="D45" s="10" t="s">
        <v>429</v>
      </c>
      <c r="E45" s="6">
        <v>45508</v>
      </c>
      <c r="F45" s="18">
        <v>255</v>
      </c>
      <c r="G45" s="6">
        <v>45492</v>
      </c>
      <c r="H45" s="4">
        <v>368</v>
      </c>
      <c r="I45" s="6">
        <v>45497</v>
      </c>
      <c r="J45" s="4">
        <v>552</v>
      </c>
      <c r="K45" t="s">
        <v>115</v>
      </c>
    </row>
    <row r="46" spans="1:11" x14ac:dyDescent="0.3">
      <c r="A46" s="10" t="s">
        <v>430</v>
      </c>
      <c r="B46" s="10"/>
      <c r="C46" s="10"/>
      <c r="D46" s="10" t="s">
        <v>431</v>
      </c>
      <c r="E46" s="6">
        <v>45536</v>
      </c>
      <c r="F46" s="18">
        <v>256</v>
      </c>
      <c r="G46" s="6">
        <v>45492</v>
      </c>
      <c r="H46" s="4">
        <v>268</v>
      </c>
      <c r="I46" s="6">
        <v>45498</v>
      </c>
      <c r="J46" s="4">
        <v>402</v>
      </c>
      <c r="K46" t="s">
        <v>115</v>
      </c>
    </row>
    <row r="47" spans="1:11" x14ac:dyDescent="0.3">
      <c r="A47" s="145" t="s">
        <v>446</v>
      </c>
      <c r="B47" s="10" t="s">
        <v>77</v>
      </c>
      <c r="C47" s="6">
        <v>45497</v>
      </c>
      <c r="D47" s="22" t="s">
        <v>447</v>
      </c>
      <c r="E47" s="6">
        <v>45483</v>
      </c>
      <c r="F47" s="18">
        <v>263</v>
      </c>
      <c r="G47" s="6">
        <v>45500</v>
      </c>
      <c r="H47" s="4">
        <v>276.2</v>
      </c>
      <c r="I47" s="6" t="s">
        <v>357</v>
      </c>
      <c r="J47" s="4">
        <v>412.8</v>
      </c>
      <c r="K47" t="s">
        <v>115</v>
      </c>
    </row>
    <row r="48" spans="1:11" x14ac:dyDescent="0.3">
      <c r="A48" s="21" t="s">
        <v>457</v>
      </c>
      <c r="B48" s="10" t="s">
        <v>77</v>
      </c>
      <c r="C48" s="6">
        <v>45501</v>
      </c>
      <c r="D48" s="10" t="s">
        <v>458</v>
      </c>
      <c r="E48" s="6">
        <v>45514</v>
      </c>
      <c r="F48" s="18">
        <v>269</v>
      </c>
      <c r="G48" s="6">
        <v>45504</v>
      </c>
      <c r="H48" s="4">
        <v>414.4</v>
      </c>
      <c r="I48" s="6" t="s">
        <v>357</v>
      </c>
      <c r="J48" s="4">
        <v>621.6</v>
      </c>
      <c r="K48" t="s">
        <v>115</v>
      </c>
    </row>
    <row r="49" spans="1:11" x14ac:dyDescent="0.3">
      <c r="A49" s="21" t="s">
        <v>460</v>
      </c>
      <c r="B49" s="10" t="s">
        <v>77</v>
      </c>
      <c r="C49" s="6">
        <v>45499</v>
      </c>
      <c r="D49" s="10" t="s">
        <v>461</v>
      </c>
      <c r="E49" s="6">
        <v>45549</v>
      </c>
      <c r="F49" s="18">
        <v>270</v>
      </c>
      <c r="G49" s="6">
        <v>45504</v>
      </c>
      <c r="H49" s="4">
        <v>350.4</v>
      </c>
      <c r="I49" s="6">
        <v>45512</v>
      </c>
      <c r="J49" s="4">
        <v>525.6</v>
      </c>
      <c r="K49" t="s">
        <v>115</v>
      </c>
    </row>
    <row r="50" spans="1:11" x14ac:dyDescent="0.3">
      <c r="A50" s="21" t="s">
        <v>462</v>
      </c>
      <c r="B50" s="10" t="s">
        <v>77</v>
      </c>
      <c r="C50" s="6">
        <v>45503</v>
      </c>
      <c r="D50" s="126" t="s">
        <v>463</v>
      </c>
      <c r="E50" s="6">
        <v>45570</v>
      </c>
      <c r="F50" s="18">
        <v>271</v>
      </c>
      <c r="G50" s="6">
        <v>45504</v>
      </c>
      <c r="H50" s="4">
        <v>807.6</v>
      </c>
      <c r="I50" s="6">
        <v>45512</v>
      </c>
      <c r="J50" s="4">
        <v>1211.4000000000001</v>
      </c>
      <c r="K50" t="s">
        <v>115</v>
      </c>
    </row>
    <row r="51" spans="1:11" x14ac:dyDescent="0.3">
      <c r="A51" s="11" t="s">
        <v>490</v>
      </c>
      <c r="B51" t="s">
        <v>77</v>
      </c>
      <c r="C51" s="1">
        <v>45521</v>
      </c>
      <c r="D51" s="9" t="s">
        <v>491</v>
      </c>
      <c r="E51" s="1">
        <v>45529</v>
      </c>
      <c r="F51" s="7">
        <v>283</v>
      </c>
      <c r="G51" s="1">
        <v>45524</v>
      </c>
      <c r="H51" s="5">
        <v>532</v>
      </c>
      <c r="I51" s="1" t="s">
        <v>357</v>
      </c>
      <c r="J51" s="2">
        <v>483</v>
      </c>
    </row>
    <row r="52" spans="1:11" x14ac:dyDescent="0.3">
      <c r="A52" t="s">
        <v>492</v>
      </c>
      <c r="B52" t="s">
        <v>77</v>
      </c>
      <c r="C52" s="1">
        <v>45521</v>
      </c>
      <c r="D52" s="147" t="s">
        <v>493</v>
      </c>
      <c r="E52" s="8">
        <v>45553</v>
      </c>
      <c r="F52" s="7">
        <v>284</v>
      </c>
      <c r="G52" s="1">
        <v>45524</v>
      </c>
      <c r="H52" s="5">
        <v>343.2</v>
      </c>
      <c r="I52" s="1">
        <v>45531</v>
      </c>
      <c r="J52" s="2">
        <v>514.79999999999995</v>
      </c>
    </row>
    <row r="53" spans="1:11" x14ac:dyDescent="0.3">
      <c r="A53" s="11" t="s">
        <v>523</v>
      </c>
      <c r="B53" s="267" t="s">
        <v>77</v>
      </c>
      <c r="C53" s="1">
        <v>45549</v>
      </c>
      <c r="D53" s="9" t="s">
        <v>524</v>
      </c>
      <c r="E53" s="1">
        <v>45582</v>
      </c>
      <c r="F53" s="7">
        <v>299</v>
      </c>
      <c r="G53" s="1">
        <v>45553</v>
      </c>
      <c r="H53" s="5">
        <v>533.6</v>
      </c>
      <c r="I53" s="1" t="s">
        <v>357</v>
      </c>
      <c r="J53" s="2">
        <v>800.4</v>
      </c>
    </row>
    <row r="54" spans="1:11" x14ac:dyDescent="0.3">
      <c r="A54" s="278" t="s">
        <v>555</v>
      </c>
      <c r="B54" s="10"/>
      <c r="C54" s="6">
        <v>45571</v>
      </c>
      <c r="D54" s="10" t="s">
        <v>556</v>
      </c>
      <c r="E54" s="6">
        <v>45600</v>
      </c>
      <c r="F54" s="18">
        <v>310</v>
      </c>
      <c r="G54" s="6">
        <v>45575</v>
      </c>
      <c r="H54" s="4">
        <v>432</v>
      </c>
      <c r="I54" s="6">
        <v>45581</v>
      </c>
      <c r="J54" s="4">
        <v>738</v>
      </c>
      <c r="K54" t="s">
        <v>580</v>
      </c>
    </row>
    <row r="55" spans="1:11" x14ac:dyDescent="0.3">
      <c r="A55" s="21" t="s">
        <v>576</v>
      </c>
      <c r="B55" s="10" t="s">
        <v>77</v>
      </c>
      <c r="C55" s="6">
        <v>45582</v>
      </c>
      <c r="D55" s="10" t="s">
        <v>577</v>
      </c>
      <c r="E55" s="6">
        <v>45604</v>
      </c>
      <c r="F55" s="18">
        <v>320</v>
      </c>
      <c r="G55" s="6">
        <v>45583</v>
      </c>
      <c r="H55" s="4">
        <v>261.60000000000002</v>
      </c>
      <c r="I55" s="6">
        <v>45594</v>
      </c>
      <c r="J55" s="4">
        <v>392.4</v>
      </c>
      <c r="K55" t="s">
        <v>580</v>
      </c>
    </row>
    <row r="56" spans="1:11" x14ac:dyDescent="0.3">
      <c r="A56" s="10" t="s">
        <v>598</v>
      </c>
      <c r="B56" s="10" t="s">
        <v>77</v>
      </c>
      <c r="C56" s="6">
        <v>45590</v>
      </c>
      <c r="D56" s="10" t="s">
        <v>461</v>
      </c>
      <c r="E56" s="6">
        <v>45830</v>
      </c>
      <c r="F56" s="18">
        <v>326</v>
      </c>
      <c r="G56" s="6">
        <v>45595</v>
      </c>
      <c r="H56" s="4">
        <v>267.60000000000002</v>
      </c>
      <c r="I56" s="6">
        <v>45609</v>
      </c>
      <c r="J56" s="4">
        <f>401.4+105</f>
        <v>506.4</v>
      </c>
      <c r="K56" t="s">
        <v>580</v>
      </c>
    </row>
    <row r="57" spans="1:11" x14ac:dyDescent="0.3">
      <c r="A57" s="21" t="s">
        <v>605</v>
      </c>
      <c r="B57" s="10"/>
      <c r="C57" s="6">
        <v>45596</v>
      </c>
      <c r="D57" s="93" t="s">
        <v>606</v>
      </c>
      <c r="E57" s="6">
        <v>45368</v>
      </c>
      <c r="F57" s="18">
        <v>330</v>
      </c>
      <c r="G57" s="6">
        <v>45598</v>
      </c>
      <c r="H57" s="4">
        <v>350</v>
      </c>
      <c r="I57" s="6">
        <v>45610</v>
      </c>
      <c r="J57" s="4">
        <v>524</v>
      </c>
      <c r="K57" t="s">
        <v>620</v>
      </c>
    </row>
  </sheetData>
  <hyperlinks>
    <hyperlink ref="D15" r:id="rId1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25" r:id="rId2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37" r:id="rId3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38" r:id="rId4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41" r:id="rId5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43" r:id="rId6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47" r:id="rId7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50" r:id="rId8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51" r:id="rId9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  <hyperlink ref="D53" r:id="rId10" display="http://tracking.volunteerworld.com/track/click/30536058/www.volunteerworld.com?p=eyJzIjoiejF3RXBtRmVJVkw1NWUyUE5VWlFaSll1NDUwIiwidiI6MSwicCI6IntcInVcIjozMDUzNjA1OCxcInZcIjoxLFwidXJsXCI6XCJodHRwczpcXFwvXFxcL3d3dy52b2x1bnRlZXJ3b3JsZC5jb21cXFwvdm9sdW50ZWVyLXByb2dyYW1cXFwvc3VwcG9ydC1kb2ctc2hlbHRlci1pbi1ncmVlY2UtaXJha2xpb1wiLFwiaWRcIjpcImNjNjJhYWRjY2VhYzQ5OTM5NTc0MDk0Yjg3YmViYmM2XCIsXCJ1cmxfaWRzXCI6W1wiOTRlNzFiNzRjMjM3ZjE0YzFlZDNjYTQ3ZTY0MGU4ZTEyMWU5NmUxM1wiXX0ifQ"/>
  </hyperlinks>
  <pageMargins left="0.7" right="0.7" top="0.78740157499999996" bottom="0.78740157499999996" header="0.3" footer="0.3"/>
  <pageSetup paperSize="9" orientation="portrait" horizontalDpi="4294967292" verticalDpi="0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 activeCell="F23" sqref="F23"/>
    </sheetView>
  </sheetViews>
  <sheetFormatPr baseColWidth="10" defaultRowHeight="14.4" x14ac:dyDescent="0.3"/>
  <cols>
    <col min="1" max="1" width="25.44140625" bestFit="1" customWidth="1"/>
    <col min="2" max="2" width="11.44140625" style="7"/>
    <col min="3" max="3" width="11.44140625" style="2"/>
    <col min="4" max="4" width="13.109375" style="7" customWidth="1"/>
    <col min="5" max="5" width="11.44140625" style="2"/>
  </cols>
  <sheetData>
    <row r="1" spans="1:7" x14ac:dyDescent="0.3">
      <c r="A1" t="s">
        <v>5</v>
      </c>
      <c r="B1" s="7" t="s">
        <v>7</v>
      </c>
      <c r="C1" s="2" t="s">
        <v>149</v>
      </c>
      <c r="D1" s="7" t="s">
        <v>1</v>
      </c>
      <c r="E1" s="2" t="s">
        <v>147</v>
      </c>
      <c r="F1" t="s">
        <v>307</v>
      </c>
    </row>
    <row r="2" spans="1:7" x14ac:dyDescent="0.3">
      <c r="A2" s="10" t="s">
        <v>146</v>
      </c>
      <c r="B2" s="18" t="s">
        <v>148</v>
      </c>
      <c r="C2" s="4">
        <v>1780</v>
      </c>
      <c r="D2" s="17">
        <v>45000</v>
      </c>
      <c r="E2" s="4">
        <v>5340</v>
      </c>
      <c r="F2" s="95">
        <v>45439</v>
      </c>
    </row>
    <row r="3" spans="1:7" x14ac:dyDescent="0.3">
      <c r="A3" t="s">
        <v>183</v>
      </c>
      <c r="B3" s="7" t="s">
        <v>184</v>
      </c>
      <c r="C3" s="2">
        <v>664</v>
      </c>
      <c r="D3" s="8">
        <v>45566</v>
      </c>
      <c r="G3" s="1"/>
    </row>
    <row r="4" spans="1:7" x14ac:dyDescent="0.3">
      <c r="A4" t="s">
        <v>233</v>
      </c>
      <c r="B4" s="7" t="s">
        <v>234</v>
      </c>
      <c r="C4" s="2">
        <v>790</v>
      </c>
      <c r="D4" s="8">
        <v>45180</v>
      </c>
      <c r="E4" s="2" t="s">
        <v>235</v>
      </c>
    </row>
    <row r="5" spans="1:7" x14ac:dyDescent="0.3">
      <c r="A5" s="10" t="s">
        <v>314</v>
      </c>
      <c r="B5" s="18" t="s">
        <v>315</v>
      </c>
      <c r="C5" s="4"/>
      <c r="D5" s="18"/>
      <c r="E5" s="4">
        <v>5010</v>
      </c>
      <c r="F5" s="95">
        <v>45443</v>
      </c>
    </row>
    <row r="6" spans="1:7" x14ac:dyDescent="0.3">
      <c r="A6" s="10" t="s">
        <v>316</v>
      </c>
      <c r="B6" s="18" t="s">
        <v>317</v>
      </c>
      <c r="C6" s="4"/>
      <c r="D6" s="18"/>
      <c r="E6" s="4">
        <v>7296</v>
      </c>
      <c r="F6" s="95">
        <v>45443</v>
      </c>
    </row>
    <row r="7" spans="1:7" x14ac:dyDescent="0.3">
      <c r="A7" s="10" t="s">
        <v>320</v>
      </c>
      <c r="B7" s="18" t="s">
        <v>321</v>
      </c>
      <c r="C7" s="4"/>
      <c r="D7" s="18"/>
      <c r="E7" s="4">
        <v>3640</v>
      </c>
      <c r="F7" s="95">
        <v>45443</v>
      </c>
    </row>
    <row r="8" spans="1:7" x14ac:dyDescent="0.3">
      <c r="A8" s="10" t="s">
        <v>322</v>
      </c>
      <c r="B8" s="18" t="s">
        <v>323</v>
      </c>
      <c r="C8" s="4"/>
      <c r="D8" s="18"/>
      <c r="E8" s="4">
        <v>6450</v>
      </c>
      <c r="F8" s="95">
        <v>45446</v>
      </c>
    </row>
    <row r="9" spans="1:7" x14ac:dyDescent="0.3">
      <c r="A9" s="10" t="s">
        <v>324</v>
      </c>
      <c r="B9" s="18" t="s">
        <v>325</v>
      </c>
      <c r="C9" s="4"/>
      <c r="D9" s="18"/>
      <c r="E9" s="4">
        <v>9840</v>
      </c>
      <c r="F9" s="95">
        <v>45446</v>
      </c>
    </row>
    <row r="10" spans="1:7" x14ac:dyDescent="0.3">
      <c r="A10" s="10" t="s">
        <v>340</v>
      </c>
      <c r="B10" s="18" t="s">
        <v>341</v>
      </c>
      <c r="C10" s="4"/>
      <c r="D10" s="18"/>
      <c r="E10" s="4">
        <v>574</v>
      </c>
      <c r="F10" s="95">
        <v>45453</v>
      </c>
    </row>
    <row r="11" spans="1:7" x14ac:dyDescent="0.3">
      <c r="A11" s="10" t="s">
        <v>383</v>
      </c>
      <c r="B11" s="18" t="s">
        <v>384</v>
      </c>
      <c r="C11" s="4"/>
      <c r="D11" s="18"/>
      <c r="E11" s="4">
        <v>574</v>
      </c>
      <c r="F11" s="95">
        <v>45467</v>
      </c>
    </row>
    <row r="12" spans="1:7" x14ac:dyDescent="0.3">
      <c r="A12" s="10" t="s">
        <v>385</v>
      </c>
      <c r="B12" s="18" t="s">
        <v>315</v>
      </c>
      <c r="C12" s="4"/>
      <c r="D12" s="18"/>
      <c r="E12" s="4">
        <v>5340</v>
      </c>
      <c r="F12" s="95">
        <v>45471</v>
      </c>
    </row>
    <row r="13" spans="1:7" x14ac:dyDescent="0.3">
      <c r="A13" s="10" t="s">
        <v>416</v>
      </c>
      <c r="B13" s="18" t="s">
        <v>417</v>
      </c>
      <c r="C13" s="4"/>
      <c r="D13" s="18"/>
      <c r="E13" s="4">
        <v>5444</v>
      </c>
      <c r="F13" s="95">
        <v>45484</v>
      </c>
    </row>
    <row r="14" spans="1:7" x14ac:dyDescent="0.3">
      <c r="A14" s="10" t="s">
        <v>565</v>
      </c>
      <c r="B14" s="18" t="s">
        <v>566</v>
      </c>
      <c r="C14" s="4"/>
      <c r="D14" s="18"/>
      <c r="E14" s="4">
        <v>548</v>
      </c>
      <c r="F14" s="95">
        <v>45575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4.4" x14ac:dyDescent="0.3"/>
  <cols>
    <col min="1" max="1" width="27.109375" bestFit="1" customWidth="1"/>
    <col min="2" max="2" width="86.88671875" bestFit="1" customWidth="1"/>
    <col min="3" max="3" width="62.44140625" bestFit="1" customWidth="1"/>
    <col min="6" max="6" width="23.6640625" customWidth="1"/>
    <col min="7" max="7" width="20.88671875" style="7" customWidth="1"/>
    <col min="8" max="8" width="11.44140625" style="7"/>
    <col min="9" max="9" width="11.44140625" style="276"/>
  </cols>
  <sheetData>
    <row r="1" spans="1:12" x14ac:dyDescent="0.3">
      <c r="A1" t="s">
        <v>5</v>
      </c>
      <c r="B1" t="s">
        <v>156</v>
      </c>
      <c r="D1" t="s">
        <v>157</v>
      </c>
      <c r="G1" s="7" t="s">
        <v>158</v>
      </c>
      <c r="H1" s="7" t="s">
        <v>1</v>
      </c>
      <c r="I1" s="276" t="s">
        <v>159</v>
      </c>
    </row>
    <row r="2" spans="1:12" x14ac:dyDescent="0.3">
      <c r="A2" t="s">
        <v>494</v>
      </c>
      <c r="B2" t="s">
        <v>373</v>
      </c>
      <c r="G2" s="7">
        <v>18246</v>
      </c>
      <c r="H2" s="8">
        <v>45519</v>
      </c>
      <c r="I2" s="276">
        <v>107.5</v>
      </c>
    </row>
    <row r="3" spans="1:12" x14ac:dyDescent="0.3">
      <c r="A3" t="s">
        <v>167</v>
      </c>
      <c r="B3" t="s">
        <v>542</v>
      </c>
      <c r="C3" t="s">
        <v>543</v>
      </c>
      <c r="G3" s="7">
        <v>18247</v>
      </c>
      <c r="H3" s="8">
        <v>45559</v>
      </c>
    </row>
    <row r="4" spans="1:12" x14ac:dyDescent="0.3">
      <c r="A4" s="280" t="s">
        <v>551</v>
      </c>
      <c r="B4" s="281" t="s">
        <v>552</v>
      </c>
      <c r="C4" s="281"/>
      <c r="D4" s="281"/>
      <c r="E4" s="281"/>
      <c r="F4" s="281"/>
      <c r="G4" s="282">
        <v>18248</v>
      </c>
      <c r="H4" s="283">
        <v>45572</v>
      </c>
      <c r="I4" s="284">
        <v>1134</v>
      </c>
      <c r="J4" s="10" t="s">
        <v>578</v>
      </c>
    </row>
    <row r="5" spans="1:12" x14ac:dyDescent="0.3">
      <c r="A5" s="21" t="s">
        <v>364</v>
      </c>
      <c r="B5" s="21" t="s">
        <v>563</v>
      </c>
      <c r="C5" s="10"/>
      <c r="D5" s="10"/>
      <c r="E5" s="10"/>
      <c r="F5" s="10"/>
      <c r="G5" s="18">
        <v>18249</v>
      </c>
      <c r="H5" s="17">
        <v>45576</v>
      </c>
      <c r="I5" s="288">
        <v>5.56</v>
      </c>
      <c r="J5" s="289" t="s">
        <v>592</v>
      </c>
      <c r="L5" t="s">
        <v>118</v>
      </c>
    </row>
    <row r="6" spans="1:12" x14ac:dyDescent="0.3">
      <c r="A6" s="12" t="s">
        <v>152</v>
      </c>
      <c r="B6" s="12" t="s">
        <v>153</v>
      </c>
      <c r="C6" s="12"/>
      <c r="D6" s="12"/>
      <c r="E6" s="12"/>
      <c r="F6" s="12"/>
      <c r="G6" s="16">
        <v>18250</v>
      </c>
      <c r="H6" s="15">
        <v>45353</v>
      </c>
      <c r="I6" s="26" t="s">
        <v>154</v>
      </c>
    </row>
    <row r="7" spans="1:12" x14ac:dyDescent="0.3">
      <c r="A7" s="11" t="s">
        <v>169</v>
      </c>
      <c r="B7" s="20" t="s">
        <v>170</v>
      </c>
      <c r="C7" t="s">
        <v>171</v>
      </c>
      <c r="G7" s="7">
        <v>18251</v>
      </c>
      <c r="H7" s="8">
        <v>45388</v>
      </c>
      <c r="I7" s="276">
        <v>740</v>
      </c>
    </row>
    <row r="8" spans="1:12" x14ac:dyDescent="0.3">
      <c r="A8" t="s">
        <v>189</v>
      </c>
      <c r="B8" t="s">
        <v>230</v>
      </c>
      <c r="C8" t="s">
        <v>231</v>
      </c>
      <c r="G8" s="7">
        <v>18252</v>
      </c>
      <c r="H8" s="8">
        <v>38117</v>
      </c>
      <c r="I8" s="276">
        <v>70</v>
      </c>
    </row>
    <row r="9" spans="1:12" x14ac:dyDescent="0.3">
      <c r="A9" t="s">
        <v>133</v>
      </c>
      <c r="B9" t="s">
        <v>373</v>
      </c>
      <c r="G9" s="7">
        <v>18253</v>
      </c>
      <c r="H9" s="8">
        <v>45466</v>
      </c>
    </row>
    <row r="10" spans="1:12" x14ac:dyDescent="0.3">
      <c r="A10" s="21" t="s">
        <v>582</v>
      </c>
      <c r="B10" s="10"/>
      <c r="C10" s="21" t="s">
        <v>583</v>
      </c>
      <c r="D10" s="10"/>
      <c r="E10" s="10"/>
      <c r="F10" s="10"/>
      <c r="G10" s="18">
        <v>18254</v>
      </c>
      <c r="H10" s="18" t="s">
        <v>584</v>
      </c>
      <c r="I10" s="288">
        <v>924.3</v>
      </c>
      <c r="J10" s="289" t="s">
        <v>593</v>
      </c>
      <c r="L10" t="s">
        <v>118</v>
      </c>
    </row>
    <row r="11" spans="1:12" ht="16.8" customHeight="1" x14ac:dyDescent="0.3">
      <c r="A11" s="11" t="s">
        <v>364</v>
      </c>
      <c r="B11" t="s">
        <v>651</v>
      </c>
      <c r="C11" s="302" t="s">
        <v>650</v>
      </c>
      <c r="G11" s="7">
        <v>18255</v>
      </c>
      <c r="H11" s="8">
        <v>45635</v>
      </c>
      <c r="I11" s="276">
        <v>-476</v>
      </c>
    </row>
    <row r="12" spans="1:12" x14ac:dyDescent="0.3">
      <c r="A12" t="s">
        <v>211</v>
      </c>
      <c r="B12" t="s">
        <v>653</v>
      </c>
      <c r="C12" t="s">
        <v>279</v>
      </c>
      <c r="E12" t="s">
        <v>654</v>
      </c>
      <c r="G12" s="7">
        <v>18256</v>
      </c>
      <c r="H12" s="8">
        <v>45642</v>
      </c>
      <c r="I12" s="276">
        <v>0</v>
      </c>
    </row>
    <row r="13" spans="1:12" x14ac:dyDescent="0.3">
      <c r="G13" s="7">
        <v>18257</v>
      </c>
    </row>
    <row r="14" spans="1:12" x14ac:dyDescent="0.3">
      <c r="A14" s="14" t="s">
        <v>99</v>
      </c>
      <c r="B14" s="12" t="s">
        <v>100</v>
      </c>
      <c r="C14" s="13"/>
      <c r="D14" s="14" t="s">
        <v>150</v>
      </c>
      <c r="E14" s="14"/>
      <c r="F14" s="16"/>
      <c r="G14" s="16">
        <v>18258</v>
      </c>
      <c r="H14" s="16" t="s">
        <v>101</v>
      </c>
      <c r="I14" s="26">
        <v>-944</v>
      </c>
    </row>
    <row r="15" spans="1:12" x14ac:dyDescent="0.3">
      <c r="A15" s="14" t="s">
        <v>155</v>
      </c>
      <c r="B15" s="12" t="s">
        <v>151</v>
      </c>
      <c r="C15" s="12"/>
      <c r="D15" s="12" t="s">
        <v>144</v>
      </c>
      <c r="E15" s="12"/>
      <c r="F15" s="15"/>
      <c r="G15" s="25">
        <v>18259</v>
      </c>
      <c r="H15" s="15">
        <v>45371</v>
      </c>
      <c r="I15" s="26">
        <v>891</v>
      </c>
    </row>
  </sheetData>
  <pageMargins left="0.7" right="0.7" top="0.78740157499999996" bottom="0.78740157499999996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2024</vt:lpstr>
      <vt:lpstr>High School 2024 geb.</vt:lpstr>
      <vt:lpstr>Griechenlandrechnungen 2024 geb</vt:lpstr>
      <vt:lpstr>Rechnungen 2023</vt:lpstr>
      <vt:lpstr>Stornorechnungen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JAMSO</dc:creator>
  <cp:lastModifiedBy>JAMSO</cp:lastModifiedBy>
  <dcterms:created xsi:type="dcterms:W3CDTF">2024-02-09T10:20:23Z</dcterms:created>
  <dcterms:modified xsi:type="dcterms:W3CDTF">2025-11-13T19:17:14Z</dcterms:modified>
</cp:coreProperties>
</file>