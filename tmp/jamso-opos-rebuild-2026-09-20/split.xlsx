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INE DATEN\Dokumente\Jamso Bdenutzerprofil auf D\Dokumente\Burchardt &amp; Kollegen\2024\"/>
    </mc:Choice>
  </mc:AlternateContent>
  <xr:revisionPtr revIDLastSave="0" documentId="13_ncr:1_{04BF57E5-2797-4CF6-9BD5-9F9A8F8C108F}" xr6:coauthVersionLast="47" xr6:coauthVersionMax="47" xr10:uidLastSave="{00000000-0000-0000-0000-000000000000}"/>
  <bookViews>
    <workbookView xWindow="28680" yWindow="-45" windowWidth="29040" windowHeight="15720" xr2:uid="{E0FA1627-D17C-47E0-B87B-0B4B7BBC25B0}"/>
  </bookViews>
  <sheets>
    <sheet name="2024_2025" sheetId="1" r:id="rId1"/>
    <sheet name="2025_2026" sheetId="2" r:id="rId2"/>
    <sheet name="2026_2027" sheetId="3" r:id="rId3"/>
    <sheet name="Tabelle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3" l="1"/>
  <c r="G31" i="3"/>
  <c r="F31" i="3"/>
  <c r="E31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F31" i="2"/>
  <c r="E31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F31" i="1"/>
  <c r="H33" i="1"/>
  <c r="D33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4" i="1"/>
  <c r="E31" i="1"/>
  <c r="G31" i="2"/>
  <c r="H31" i="1"/>
  <c r="D31" i="3" l="1"/>
  <c r="D31" i="2"/>
  <c r="D31" i="1"/>
</calcChain>
</file>

<file path=xl/sharedStrings.xml><?xml version="1.0" encoding="utf-8"?>
<sst xmlns="http://schemas.openxmlformats.org/spreadsheetml/2006/main" count="119" uniqueCount="103">
  <si>
    <t>Gesamtbetrag</t>
  </si>
  <si>
    <t xml:space="preserve">DebitorenNr. </t>
  </si>
  <si>
    <t>Name</t>
  </si>
  <si>
    <t>Sara Scholtz</t>
  </si>
  <si>
    <t xml:space="preserve">RE-Nr. </t>
  </si>
  <si>
    <t>Betrag</t>
  </si>
  <si>
    <t>2025-258</t>
  </si>
  <si>
    <t>2024-207</t>
  </si>
  <si>
    <t>Harriet Lumley</t>
  </si>
  <si>
    <t>2024-213</t>
  </si>
  <si>
    <t>2025-259</t>
  </si>
  <si>
    <t>Frieda Christina Niegel</t>
  </si>
  <si>
    <t>2025-260</t>
  </si>
  <si>
    <t>Emmy Schäfer</t>
  </si>
  <si>
    <t>2024-253</t>
  </si>
  <si>
    <t>2025-261</t>
  </si>
  <si>
    <t>Alexandria Tokarzk</t>
  </si>
  <si>
    <t>2024-264</t>
  </si>
  <si>
    <t>2025-262</t>
  </si>
  <si>
    <t>Emilio Leon Reyes</t>
  </si>
  <si>
    <t>2024-279</t>
  </si>
  <si>
    <t>2025-263</t>
  </si>
  <si>
    <t>Sophie Schindler</t>
  </si>
  <si>
    <t>2024-281</t>
  </si>
  <si>
    <t>2025-264</t>
  </si>
  <si>
    <t>Emma van Bever</t>
  </si>
  <si>
    <t>2024-293</t>
  </si>
  <si>
    <t>2025-265</t>
  </si>
  <si>
    <t>Chiara Alisha Klein</t>
  </si>
  <si>
    <t>2024-296</t>
  </si>
  <si>
    <t>2025-266</t>
  </si>
  <si>
    <t>Ela Centimese</t>
  </si>
  <si>
    <t>2024-300</t>
  </si>
  <si>
    <t>2025-267</t>
  </si>
  <si>
    <t>Annika Weiß</t>
  </si>
  <si>
    <t>2024-302</t>
  </si>
  <si>
    <t>2025-268</t>
  </si>
  <si>
    <t>Sonja Leiner</t>
  </si>
  <si>
    <t>2024-306</t>
  </si>
  <si>
    <t>2025-269</t>
  </si>
  <si>
    <t>Mila Janokowiak</t>
  </si>
  <si>
    <t>2024-307</t>
  </si>
  <si>
    <t>2025-270</t>
  </si>
  <si>
    <t>Amelie Grawe</t>
  </si>
  <si>
    <t>2024-311</t>
  </si>
  <si>
    <t>2025-271</t>
  </si>
  <si>
    <t>Emily Becker</t>
  </si>
  <si>
    <t>2024-323</t>
  </si>
  <si>
    <t>2025-272</t>
  </si>
  <si>
    <t>Loane Pages</t>
  </si>
  <si>
    <t>2024-325</t>
  </si>
  <si>
    <t>2025-273</t>
  </si>
  <si>
    <t>Lars Philipp Matzke</t>
  </si>
  <si>
    <t>2024-334</t>
  </si>
  <si>
    <t>2025-274</t>
  </si>
  <si>
    <t>Noemi Talina Holenstein</t>
  </si>
  <si>
    <t>2024-335</t>
  </si>
  <si>
    <t>2025-275</t>
  </si>
  <si>
    <t>Katharina Jung</t>
  </si>
  <si>
    <t>2024-344</t>
  </si>
  <si>
    <t>2025-276</t>
  </si>
  <si>
    <t>Aleksei Tkachenko</t>
  </si>
  <si>
    <t>2024-347</t>
  </si>
  <si>
    <t>2025-278</t>
  </si>
  <si>
    <t>Julian Schupp</t>
  </si>
  <si>
    <t>2024-348</t>
  </si>
  <si>
    <t>2025-279</t>
  </si>
  <si>
    <t>2024-353</t>
  </si>
  <si>
    <t>Constantin Mertens</t>
  </si>
  <si>
    <t>2025-280</t>
  </si>
  <si>
    <t>Erik Bauer</t>
  </si>
  <si>
    <t>2024-356</t>
  </si>
  <si>
    <t>2025-281</t>
  </si>
  <si>
    <t>Mina Hathiramani</t>
  </si>
  <si>
    <t>2024-357</t>
  </si>
  <si>
    <t>2025-282</t>
  </si>
  <si>
    <t>Minou Liebmann</t>
  </si>
  <si>
    <t>2024-360</t>
  </si>
  <si>
    <t>2025-283</t>
  </si>
  <si>
    <t>Mara Noll</t>
  </si>
  <si>
    <t>2024-361</t>
  </si>
  <si>
    <t>2025-284</t>
  </si>
  <si>
    <t>Gesamt</t>
  </si>
  <si>
    <t>3272  19%</t>
  </si>
  <si>
    <t>3264   0%</t>
  </si>
  <si>
    <t>2024-251</t>
  </si>
  <si>
    <t>Betrag aus 2024 storniert 1.980,00€, da kein Zahlungseingang</t>
  </si>
  <si>
    <t>Betrag aus 2024 storniert 1.620,00€, da kein Zahlungseingang</t>
  </si>
  <si>
    <t>Betrag aus 2024 storniert 770,00€, da kein Zahlungseingang</t>
  </si>
  <si>
    <t>Jakob Schweizok</t>
  </si>
  <si>
    <t>2026-006</t>
  </si>
  <si>
    <t>Anreise 2027</t>
  </si>
  <si>
    <t>Im Februar buchen</t>
  </si>
  <si>
    <t>Lotta Egbers</t>
  </si>
  <si>
    <t>2026-031</t>
  </si>
  <si>
    <t xml:space="preserve">Im Januar </t>
  </si>
  <si>
    <t>Ella Linnea Bankamp</t>
  </si>
  <si>
    <t>Juli / August</t>
  </si>
  <si>
    <t>Rechnungen in 2027 eintragen</t>
  </si>
  <si>
    <t>2500,00€ Eingang 07.05.2026</t>
  </si>
  <si>
    <t>Storniert in 2025</t>
  </si>
  <si>
    <t>Zahlung 17.02.2025  3.280,00€</t>
  </si>
  <si>
    <t xml:space="preserve">Stornorechnung 18263 (18623) über 4.155,00€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</si>
</sst>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/>
    <xf numFmtId="164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NumberFormat="1" applyFont="1" applyBorder="1"/>
    <xf numFmtId="0" fontId="0" fillId="2" borderId="1" xfId="0" applyFill="1" applyBorder="1"/>
    <xf numFmtId="164" fontId="0" fillId="2" borderId="1" xfId="0" applyNumberFormat="1" applyFill="1" applyBorder="1"/>
    <xf numFmtId="0" fontId="0" fillId="2" borderId="0" xfId="0" applyFill="1"/>
    <xf numFmtId="0" fontId="1" fillId="0" borderId="1" xfId="0" applyNumberFormat="1" applyFont="1" applyBorder="1" applyAlignment="1">
      <alignment horizontal="center"/>
    </xf>
    <xf numFmtId="0" fontId="0" fillId="0" borderId="1" xfId="0" applyFill="1" applyBorder="1"/>
    <xf numFmtId="164" fontId="0" fillId="0" borderId="1" xfId="0" applyNumberFormat="1" applyFill="1" applyBorder="1"/>
    <xf numFmtId="164" fontId="0" fillId="0" borderId="1" xfId="0" applyNumberFormat="1" applyFill="1" applyBorder="1" applyAlignment="1">
      <alignment horizontal="center"/>
    </xf>
    <xf numFmtId="0" fontId="0" fillId="3" borderId="1" xfId="0" applyFill="1" applyBorder="1"/>
    <xf numFmtId="164" fontId="0" fillId="3" borderId="1" xfId="0" applyNumberFormat="1" applyFill="1" applyBorder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221480</xdr:colOff>
      <xdr:row>25</xdr:row>
      <xdr:rowOff>129932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9B687B32-93CF-83A5-294E-193A7EC24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5768840" cy="45190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83820</xdr:rowOff>
    </xdr:from>
    <xdr:to>
      <xdr:col>7</xdr:col>
      <xdr:colOff>335790</xdr:colOff>
      <xdr:row>45</xdr:row>
      <xdr:rowOff>68912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BB34C1D2-CDC6-23AD-7272-FC13725E7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72940"/>
          <a:ext cx="5883150" cy="38255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5DE9-4CD9-445F-BB03-339B665D3FC2}">
  <dimension ref="A2:M33"/>
  <sheetViews>
    <sheetView tabSelected="1" workbookViewId="0">
      <selection activeCell="I10" sqref="I10"/>
    </sheetView>
  </sheetViews>
  <sheetFormatPr baseColWidth="10" defaultRowHeight="14.4" x14ac:dyDescent="0.3"/>
  <cols>
    <col min="2" max="2" width="20.6640625" bestFit="1" customWidth="1"/>
    <col min="3" max="3" width="20.6640625" customWidth="1"/>
    <col min="4" max="4" width="11.5546875" style="1"/>
    <col min="5" max="5" width="18.109375" style="1" customWidth="1"/>
    <col min="6" max="6" width="11.5546875" style="1"/>
    <col min="7" max="7" width="0" hidden="1" customWidth="1"/>
    <col min="8" max="8" width="11.5546875" style="1"/>
    <col min="9" max="9" width="16.109375" customWidth="1"/>
  </cols>
  <sheetData>
    <row r="2" spans="1:13" x14ac:dyDescent="0.3">
      <c r="A2" s="4"/>
      <c r="B2" s="4"/>
      <c r="C2" s="4"/>
      <c r="D2" s="5"/>
      <c r="E2" s="9">
        <v>2024</v>
      </c>
      <c r="F2" s="5"/>
      <c r="G2" s="4">
        <v>2025</v>
      </c>
      <c r="H2" s="9">
        <v>2025</v>
      </c>
    </row>
    <row r="3" spans="1:13" x14ac:dyDescent="0.3">
      <c r="A3" s="4" t="s">
        <v>1</v>
      </c>
      <c r="B3" s="4" t="s">
        <v>2</v>
      </c>
      <c r="C3" s="4" t="s">
        <v>4</v>
      </c>
      <c r="D3" s="5" t="s">
        <v>0</v>
      </c>
      <c r="E3" s="5" t="s">
        <v>84</v>
      </c>
      <c r="F3" s="5" t="s">
        <v>83</v>
      </c>
      <c r="G3" s="4"/>
      <c r="H3" s="5" t="s">
        <v>5</v>
      </c>
    </row>
    <row r="4" spans="1:13" x14ac:dyDescent="0.3">
      <c r="A4" s="2">
        <v>10100</v>
      </c>
      <c r="B4" s="2" t="s">
        <v>3</v>
      </c>
      <c r="C4" s="2" t="s">
        <v>7</v>
      </c>
      <c r="D4" s="3">
        <f>SUM(E4:H4)</f>
        <v>15100</v>
      </c>
      <c r="E4" s="3">
        <v>3020</v>
      </c>
      <c r="F4" s="3"/>
      <c r="G4" s="2" t="s">
        <v>6</v>
      </c>
      <c r="H4" s="3">
        <v>12080</v>
      </c>
      <c r="I4" s="1"/>
    </row>
    <row r="5" spans="1:13" x14ac:dyDescent="0.3">
      <c r="A5" s="2">
        <v>10104</v>
      </c>
      <c r="B5" s="2" t="s">
        <v>8</v>
      </c>
      <c r="C5" s="2" t="s">
        <v>9</v>
      </c>
      <c r="D5" s="3">
        <f t="shared" ref="D5:D29" si="0">SUM(E5:H5)</f>
        <v>4358.3999999999996</v>
      </c>
      <c r="E5" s="3">
        <v>726.4</v>
      </c>
      <c r="F5" s="3"/>
      <c r="G5" s="2" t="s">
        <v>10</v>
      </c>
      <c r="H5" s="3">
        <v>3632</v>
      </c>
    </row>
    <row r="6" spans="1:13" x14ac:dyDescent="0.3">
      <c r="A6" s="17">
        <v>10135</v>
      </c>
      <c r="B6" s="17" t="s">
        <v>11</v>
      </c>
      <c r="C6" s="17" t="s">
        <v>85</v>
      </c>
      <c r="D6" s="18">
        <f t="shared" si="0"/>
        <v>16400</v>
      </c>
      <c r="E6" s="18">
        <v>3280</v>
      </c>
      <c r="F6" s="18"/>
      <c r="G6" s="17" t="s">
        <v>12</v>
      </c>
      <c r="H6" s="18">
        <v>13120</v>
      </c>
      <c r="I6" s="19" t="s">
        <v>100</v>
      </c>
      <c r="J6" t="s">
        <v>101</v>
      </c>
      <c r="M6" t="s">
        <v>102</v>
      </c>
    </row>
    <row r="7" spans="1:13" x14ac:dyDescent="0.3">
      <c r="A7" s="2">
        <v>10137</v>
      </c>
      <c r="B7" s="2" t="s">
        <v>13</v>
      </c>
      <c r="C7" s="2" t="s">
        <v>14</v>
      </c>
      <c r="D7" s="3">
        <f t="shared" si="0"/>
        <v>9900</v>
      </c>
      <c r="E7" s="3">
        <v>1980</v>
      </c>
      <c r="F7" s="3"/>
      <c r="G7" s="2" t="s">
        <v>15</v>
      </c>
      <c r="H7" s="3">
        <v>7920</v>
      </c>
    </row>
    <row r="8" spans="1:13" x14ac:dyDescent="0.3">
      <c r="A8" s="2">
        <v>10146</v>
      </c>
      <c r="B8" s="2" t="s">
        <v>16</v>
      </c>
      <c r="C8" s="2" t="s">
        <v>17</v>
      </c>
      <c r="D8" s="3">
        <f t="shared" si="0"/>
        <v>1912.8</v>
      </c>
      <c r="E8" s="3">
        <v>318.8</v>
      </c>
      <c r="F8" s="3"/>
      <c r="G8" s="2" t="s">
        <v>18</v>
      </c>
      <c r="H8" s="3">
        <v>1594</v>
      </c>
    </row>
    <row r="9" spans="1:13" x14ac:dyDescent="0.3">
      <c r="A9" s="2">
        <v>10159</v>
      </c>
      <c r="B9" s="2" t="s">
        <v>19</v>
      </c>
      <c r="C9" s="2" t="s">
        <v>20</v>
      </c>
      <c r="D9" s="3">
        <f t="shared" si="0"/>
        <v>13800</v>
      </c>
      <c r="E9" s="3">
        <v>2760</v>
      </c>
      <c r="F9" s="3"/>
      <c r="G9" s="2" t="s">
        <v>21</v>
      </c>
      <c r="H9" s="3">
        <v>11040</v>
      </c>
    </row>
    <row r="10" spans="1:13" x14ac:dyDescent="0.3">
      <c r="A10" s="2">
        <v>10160</v>
      </c>
      <c r="B10" s="2" t="s">
        <v>22</v>
      </c>
      <c r="C10" s="2" t="s">
        <v>23</v>
      </c>
      <c r="D10" s="3">
        <f t="shared" si="0"/>
        <v>2539</v>
      </c>
      <c r="E10" s="3">
        <v>507.8</v>
      </c>
      <c r="F10" s="3"/>
      <c r="G10" s="2" t="s">
        <v>24</v>
      </c>
      <c r="H10" s="3">
        <v>2031.2</v>
      </c>
    </row>
    <row r="11" spans="1:13" x14ac:dyDescent="0.3">
      <c r="A11" s="2">
        <v>10170</v>
      </c>
      <c r="B11" s="2" t="s">
        <v>25</v>
      </c>
      <c r="C11" s="2" t="s">
        <v>26</v>
      </c>
      <c r="D11" s="3">
        <f t="shared" si="0"/>
        <v>949</v>
      </c>
      <c r="E11" s="3">
        <v>189.8</v>
      </c>
      <c r="F11" s="3"/>
      <c r="G11" s="2" t="s">
        <v>27</v>
      </c>
      <c r="H11" s="3">
        <v>759.2</v>
      </c>
    </row>
    <row r="12" spans="1:13" x14ac:dyDescent="0.3">
      <c r="A12" s="2">
        <v>10173</v>
      </c>
      <c r="B12" s="2" t="s">
        <v>28</v>
      </c>
      <c r="C12" s="2" t="s">
        <v>29</v>
      </c>
      <c r="D12" s="3">
        <f t="shared" si="0"/>
        <v>527</v>
      </c>
      <c r="E12" s="3">
        <v>105.4</v>
      </c>
      <c r="F12" s="3"/>
      <c r="G12" s="2" t="s">
        <v>30</v>
      </c>
      <c r="H12" s="3">
        <v>421.6</v>
      </c>
    </row>
    <row r="13" spans="1:13" x14ac:dyDescent="0.3">
      <c r="A13" s="2">
        <v>10177</v>
      </c>
      <c r="B13" s="2" t="s">
        <v>31</v>
      </c>
      <c r="C13" s="2" t="s">
        <v>32</v>
      </c>
      <c r="D13" s="3">
        <f t="shared" si="0"/>
        <v>2569</v>
      </c>
      <c r="E13" s="3">
        <v>513.79999999999995</v>
      </c>
      <c r="F13" s="3"/>
      <c r="G13" s="2" t="s">
        <v>33</v>
      </c>
      <c r="H13" s="3">
        <v>2055.1999999999998</v>
      </c>
    </row>
    <row r="14" spans="1:13" x14ac:dyDescent="0.3">
      <c r="A14" s="2">
        <v>10179</v>
      </c>
      <c r="B14" s="2" t="s">
        <v>34</v>
      </c>
      <c r="C14" s="2" t="s">
        <v>35</v>
      </c>
      <c r="D14" s="3">
        <f t="shared" si="0"/>
        <v>3290</v>
      </c>
      <c r="E14" s="3">
        <v>658</v>
      </c>
      <c r="F14" s="3"/>
      <c r="G14" s="2" t="s">
        <v>36</v>
      </c>
      <c r="H14" s="3">
        <v>2632</v>
      </c>
    </row>
    <row r="15" spans="1:13" x14ac:dyDescent="0.3">
      <c r="A15" s="2">
        <v>10183</v>
      </c>
      <c r="B15" s="2" t="s">
        <v>37</v>
      </c>
      <c r="C15" s="2" t="s">
        <v>38</v>
      </c>
      <c r="D15" s="3">
        <f t="shared" si="0"/>
        <v>1220</v>
      </c>
      <c r="E15" s="3">
        <v>244</v>
      </c>
      <c r="F15" s="3"/>
      <c r="G15" s="2" t="s">
        <v>39</v>
      </c>
      <c r="H15" s="3">
        <v>976</v>
      </c>
    </row>
    <row r="16" spans="1:13" x14ac:dyDescent="0.3">
      <c r="A16" s="2">
        <v>10184</v>
      </c>
      <c r="B16" s="2" t="s">
        <v>40</v>
      </c>
      <c r="C16" s="2" t="s">
        <v>41</v>
      </c>
      <c r="D16" s="3">
        <f t="shared" si="0"/>
        <v>11100</v>
      </c>
      <c r="E16" s="3">
        <v>2220</v>
      </c>
      <c r="F16" s="3"/>
      <c r="G16" s="2" t="s">
        <v>42</v>
      </c>
      <c r="H16" s="3">
        <v>8880</v>
      </c>
    </row>
    <row r="17" spans="1:10" x14ac:dyDescent="0.3">
      <c r="A17" s="2">
        <v>10187</v>
      </c>
      <c r="B17" s="2" t="s">
        <v>43</v>
      </c>
      <c r="C17" s="2" t="s">
        <v>44</v>
      </c>
      <c r="D17" s="3">
        <f t="shared" si="0"/>
        <v>1260</v>
      </c>
      <c r="E17" s="3">
        <v>252</v>
      </c>
      <c r="F17" s="3"/>
      <c r="G17" s="2" t="s">
        <v>45</v>
      </c>
      <c r="H17" s="3">
        <v>1008</v>
      </c>
    </row>
    <row r="18" spans="1:10" x14ac:dyDescent="0.3">
      <c r="A18" s="2">
        <v>10195</v>
      </c>
      <c r="B18" s="2" t="s">
        <v>46</v>
      </c>
      <c r="C18" s="2" t="s">
        <v>47</v>
      </c>
      <c r="D18" s="3">
        <f t="shared" si="0"/>
        <v>10550</v>
      </c>
      <c r="E18" s="3">
        <v>2110</v>
      </c>
      <c r="F18" s="3"/>
      <c r="G18" s="2" t="s">
        <v>48</v>
      </c>
      <c r="H18" s="3">
        <v>8440</v>
      </c>
    </row>
    <row r="19" spans="1:10" x14ac:dyDescent="0.3">
      <c r="A19" s="2">
        <v>10196</v>
      </c>
      <c r="B19" s="2" t="s">
        <v>49</v>
      </c>
      <c r="C19" s="2" t="s">
        <v>50</v>
      </c>
      <c r="D19" s="3">
        <f t="shared" si="0"/>
        <v>1990</v>
      </c>
      <c r="E19" s="3">
        <v>0</v>
      </c>
      <c r="F19" s="3"/>
      <c r="G19" s="2" t="s">
        <v>51</v>
      </c>
      <c r="H19" s="3">
        <v>1990</v>
      </c>
    </row>
    <row r="20" spans="1:10" x14ac:dyDescent="0.3">
      <c r="A20" s="2">
        <v>10202</v>
      </c>
      <c r="B20" s="2" t="s">
        <v>52</v>
      </c>
      <c r="C20" s="2" t="s">
        <v>53</v>
      </c>
      <c r="D20" s="3">
        <f t="shared" si="0"/>
        <v>8260</v>
      </c>
      <c r="E20" s="3">
        <v>1652</v>
      </c>
      <c r="F20" s="3"/>
      <c r="G20" s="2" t="s">
        <v>54</v>
      </c>
      <c r="H20" s="3">
        <v>6608</v>
      </c>
    </row>
    <row r="21" spans="1:10" x14ac:dyDescent="0.3">
      <c r="A21" s="2">
        <v>10203</v>
      </c>
      <c r="B21" s="2" t="s">
        <v>55</v>
      </c>
      <c r="C21" s="2" t="s">
        <v>56</v>
      </c>
      <c r="D21" s="3">
        <f t="shared" si="0"/>
        <v>10845</v>
      </c>
      <c r="E21" s="3">
        <v>2169</v>
      </c>
      <c r="F21" s="3"/>
      <c r="G21" s="2" t="s">
        <v>57</v>
      </c>
      <c r="H21" s="3">
        <v>8676</v>
      </c>
    </row>
    <row r="22" spans="1:10" x14ac:dyDescent="0.3">
      <c r="A22" s="2">
        <v>10208</v>
      </c>
      <c r="B22" s="2" t="s">
        <v>58</v>
      </c>
      <c r="C22" s="2" t="s">
        <v>59</v>
      </c>
      <c r="D22" s="3">
        <f t="shared" si="0"/>
        <v>6348.2</v>
      </c>
      <c r="E22" s="3">
        <v>1269</v>
      </c>
      <c r="F22" s="3"/>
      <c r="G22" s="2" t="s">
        <v>60</v>
      </c>
      <c r="H22" s="3">
        <v>5079.2</v>
      </c>
    </row>
    <row r="23" spans="1:10" x14ac:dyDescent="0.3">
      <c r="A23" s="2">
        <v>10154</v>
      </c>
      <c r="B23" s="2" t="s">
        <v>61</v>
      </c>
      <c r="C23" s="2" t="s">
        <v>62</v>
      </c>
      <c r="D23" s="3">
        <f t="shared" si="0"/>
        <v>680</v>
      </c>
      <c r="E23" s="3">
        <v>136</v>
      </c>
      <c r="F23" s="3"/>
      <c r="G23" s="2" t="s">
        <v>63</v>
      </c>
      <c r="H23" s="3">
        <v>544</v>
      </c>
    </row>
    <row r="24" spans="1:10" x14ac:dyDescent="0.3">
      <c r="A24" s="2">
        <v>10211</v>
      </c>
      <c r="B24" s="2" t="s">
        <v>64</v>
      </c>
      <c r="C24" s="2" t="s">
        <v>65</v>
      </c>
      <c r="D24" s="3">
        <f t="shared" si="0"/>
        <v>3460</v>
      </c>
      <c r="E24" s="3">
        <v>694</v>
      </c>
      <c r="F24" s="3"/>
      <c r="G24" s="2" t="s">
        <v>66</v>
      </c>
      <c r="H24" s="3">
        <v>2766</v>
      </c>
    </row>
    <row r="25" spans="1:10" x14ac:dyDescent="0.3">
      <c r="A25" s="2">
        <v>10212</v>
      </c>
      <c r="B25" s="2" t="s">
        <v>68</v>
      </c>
      <c r="C25" s="2" t="s">
        <v>67</v>
      </c>
      <c r="D25" s="3">
        <f t="shared" si="0"/>
        <v>544</v>
      </c>
      <c r="E25" s="3"/>
      <c r="F25" s="3">
        <v>108.8</v>
      </c>
      <c r="G25" s="2" t="s">
        <v>69</v>
      </c>
      <c r="H25" s="3">
        <v>435.2</v>
      </c>
    </row>
    <row r="26" spans="1:10" x14ac:dyDescent="0.3">
      <c r="A26" s="2">
        <v>10125</v>
      </c>
      <c r="B26" s="2" t="s">
        <v>70</v>
      </c>
      <c r="C26" s="2" t="s">
        <v>71</v>
      </c>
      <c r="D26" s="3">
        <f t="shared" si="0"/>
        <v>3240</v>
      </c>
      <c r="E26" s="3">
        <v>648</v>
      </c>
      <c r="F26" s="3"/>
      <c r="G26" s="2" t="s">
        <v>72</v>
      </c>
      <c r="H26" s="3">
        <v>2592</v>
      </c>
    </row>
    <row r="27" spans="1:10" x14ac:dyDescent="0.3">
      <c r="A27" s="10">
        <v>10216</v>
      </c>
      <c r="B27" s="10" t="s">
        <v>73</v>
      </c>
      <c r="C27" s="10" t="s">
        <v>74</v>
      </c>
      <c r="D27" s="11">
        <f t="shared" si="0"/>
        <v>9900</v>
      </c>
      <c r="E27" s="11"/>
      <c r="F27" s="11"/>
      <c r="G27" s="10" t="s">
        <v>75</v>
      </c>
      <c r="H27" s="11">
        <v>9900</v>
      </c>
      <c r="I27" s="12" t="s">
        <v>86</v>
      </c>
    </row>
    <row r="28" spans="1:10" x14ac:dyDescent="0.3">
      <c r="A28" s="10">
        <v>10218</v>
      </c>
      <c r="B28" s="10" t="s">
        <v>76</v>
      </c>
      <c r="C28" s="10" t="s">
        <v>77</v>
      </c>
      <c r="D28" s="11">
        <f t="shared" si="0"/>
        <v>8100</v>
      </c>
      <c r="E28" s="11"/>
      <c r="F28" s="11"/>
      <c r="G28" s="10" t="s">
        <v>78</v>
      </c>
      <c r="H28" s="11">
        <v>8100</v>
      </c>
      <c r="I28" s="12" t="s">
        <v>87</v>
      </c>
    </row>
    <row r="29" spans="1:10" x14ac:dyDescent="0.3">
      <c r="A29" s="10">
        <v>10219</v>
      </c>
      <c r="B29" s="10" t="s">
        <v>79</v>
      </c>
      <c r="C29" s="10" t="s">
        <v>80</v>
      </c>
      <c r="D29" s="11">
        <f t="shared" si="0"/>
        <v>3850</v>
      </c>
      <c r="E29" s="11"/>
      <c r="F29" s="11"/>
      <c r="G29" s="10" t="s">
        <v>81</v>
      </c>
      <c r="H29" s="11">
        <v>3850</v>
      </c>
      <c r="I29" s="12" t="s">
        <v>88</v>
      </c>
    </row>
    <row r="30" spans="1:10" x14ac:dyDescent="0.3">
      <c r="A30" s="2"/>
      <c r="B30" s="2"/>
      <c r="C30" s="2"/>
      <c r="D30" s="3"/>
      <c r="E30" s="3"/>
      <c r="F30" s="3"/>
      <c r="G30" s="2"/>
      <c r="H30" s="3"/>
    </row>
    <row r="31" spans="1:10" x14ac:dyDescent="0.3">
      <c r="A31" s="2"/>
      <c r="B31" s="4" t="s">
        <v>82</v>
      </c>
      <c r="C31" s="4"/>
      <c r="D31" s="5">
        <f>SUM(D4:D30)</f>
        <v>152692.40000000002</v>
      </c>
      <c r="E31" s="5">
        <f>SUM(E4:E30)</f>
        <v>25453.999999999996</v>
      </c>
      <c r="F31" s="5">
        <f>SUM(F4:F30)</f>
        <v>108.8</v>
      </c>
      <c r="G31" s="4"/>
      <c r="H31" s="5">
        <f>SUM(H4:H30)</f>
        <v>127129.59999999998</v>
      </c>
      <c r="J31" s="1"/>
    </row>
    <row r="32" spans="1:10" x14ac:dyDescent="0.3">
      <c r="A32" s="2"/>
      <c r="B32" s="2"/>
      <c r="C32" s="2"/>
      <c r="D32" s="3"/>
      <c r="E32" s="3"/>
      <c r="F32" s="3"/>
      <c r="G32" s="2"/>
      <c r="H32" s="3"/>
    </row>
    <row r="33" spans="4:8" x14ac:dyDescent="0.3">
      <c r="D33" s="1">
        <f>+D31-D29-D28-D27</f>
        <v>130842.40000000002</v>
      </c>
      <c r="H33" s="1">
        <f>+H31-H29-H28-H27</f>
        <v>105279.59999999998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6CEA7-6D4D-4DB0-BAA9-88F3543ADFF2}">
  <dimension ref="A2:G32"/>
  <sheetViews>
    <sheetView workbookViewId="0">
      <selection activeCell="A2" sqref="A2:G32"/>
    </sheetView>
  </sheetViews>
  <sheetFormatPr baseColWidth="10" defaultRowHeight="14.4" x14ac:dyDescent="0.3"/>
  <cols>
    <col min="1" max="1" width="12.88671875" bestFit="1" customWidth="1"/>
    <col min="2" max="2" width="16.109375" customWidth="1"/>
    <col min="3" max="3" width="12.77734375" style="8" customWidth="1"/>
    <col min="4" max="4" width="13.33203125" bestFit="1" customWidth="1"/>
    <col min="6" max="7" width="11.5546875" style="8"/>
  </cols>
  <sheetData>
    <row r="2" spans="1:7" x14ac:dyDescent="0.3">
      <c r="A2" s="4"/>
      <c r="B2" s="4"/>
      <c r="C2" s="4"/>
      <c r="D2" s="5"/>
      <c r="E2" s="9">
        <v>2025</v>
      </c>
      <c r="F2" s="5"/>
      <c r="G2" s="13">
        <v>2026</v>
      </c>
    </row>
    <row r="3" spans="1:7" x14ac:dyDescent="0.3">
      <c r="A3" s="4" t="s">
        <v>1</v>
      </c>
      <c r="B3" s="4" t="s">
        <v>2</v>
      </c>
      <c r="C3" s="4" t="s">
        <v>4</v>
      </c>
      <c r="D3" s="5" t="s">
        <v>0</v>
      </c>
      <c r="E3" s="5" t="s">
        <v>84</v>
      </c>
      <c r="F3" s="5" t="s">
        <v>83</v>
      </c>
      <c r="G3" s="6" t="s">
        <v>5</v>
      </c>
    </row>
    <row r="4" spans="1:7" x14ac:dyDescent="0.3">
      <c r="A4" s="2"/>
      <c r="B4" s="2"/>
      <c r="C4" s="2"/>
      <c r="D4" s="3">
        <f t="shared" ref="D4:D29" si="0">SUM(E4:F4)</f>
        <v>0</v>
      </c>
      <c r="E4" s="3"/>
      <c r="F4" s="3"/>
      <c r="G4" s="7"/>
    </row>
    <row r="5" spans="1:7" x14ac:dyDescent="0.3">
      <c r="A5" s="2"/>
      <c r="B5" s="2"/>
      <c r="C5" s="2"/>
      <c r="D5" s="3">
        <f t="shared" si="0"/>
        <v>0</v>
      </c>
      <c r="E5" s="3"/>
      <c r="F5" s="3"/>
      <c r="G5" s="7"/>
    </row>
    <row r="6" spans="1:7" x14ac:dyDescent="0.3">
      <c r="A6" s="2"/>
      <c r="B6" s="2"/>
      <c r="C6" s="2"/>
      <c r="D6" s="3">
        <f t="shared" si="0"/>
        <v>0</v>
      </c>
      <c r="E6" s="3"/>
      <c r="F6" s="3"/>
      <c r="G6" s="7"/>
    </row>
    <row r="7" spans="1:7" x14ac:dyDescent="0.3">
      <c r="A7" s="2"/>
      <c r="B7" s="2"/>
      <c r="C7" s="2"/>
      <c r="D7" s="3">
        <f t="shared" si="0"/>
        <v>0</v>
      </c>
      <c r="E7" s="3"/>
      <c r="F7" s="3"/>
      <c r="G7" s="7"/>
    </row>
    <row r="8" spans="1:7" x14ac:dyDescent="0.3">
      <c r="A8" s="2"/>
      <c r="B8" s="2"/>
      <c r="C8" s="2"/>
      <c r="D8" s="3">
        <f t="shared" si="0"/>
        <v>0</v>
      </c>
      <c r="E8" s="3"/>
      <c r="F8" s="3"/>
      <c r="G8" s="7"/>
    </row>
    <row r="9" spans="1:7" x14ac:dyDescent="0.3">
      <c r="A9" s="2"/>
      <c r="B9" s="2"/>
      <c r="C9" s="2"/>
      <c r="D9" s="3">
        <f t="shared" si="0"/>
        <v>0</v>
      </c>
      <c r="E9" s="3"/>
      <c r="F9" s="3"/>
      <c r="G9" s="7"/>
    </row>
    <row r="10" spans="1:7" x14ac:dyDescent="0.3">
      <c r="A10" s="2"/>
      <c r="B10" s="2"/>
      <c r="C10" s="2"/>
      <c r="D10" s="3">
        <f t="shared" si="0"/>
        <v>0</v>
      </c>
      <c r="E10" s="3"/>
      <c r="F10" s="3"/>
      <c r="G10" s="7"/>
    </row>
    <row r="11" spans="1:7" x14ac:dyDescent="0.3">
      <c r="A11" s="2"/>
      <c r="B11" s="2"/>
      <c r="C11" s="2"/>
      <c r="D11" s="3">
        <f t="shared" si="0"/>
        <v>0</v>
      </c>
      <c r="E11" s="3"/>
      <c r="F11" s="3"/>
      <c r="G11" s="7"/>
    </row>
    <row r="12" spans="1:7" x14ac:dyDescent="0.3">
      <c r="A12" s="2"/>
      <c r="B12" s="2"/>
      <c r="C12" s="2"/>
      <c r="D12" s="3">
        <f t="shared" si="0"/>
        <v>0</v>
      </c>
      <c r="E12" s="3"/>
      <c r="F12" s="3"/>
      <c r="G12" s="7"/>
    </row>
    <row r="13" spans="1:7" x14ac:dyDescent="0.3">
      <c r="A13" s="2"/>
      <c r="B13" s="2"/>
      <c r="C13" s="2"/>
      <c r="D13" s="3">
        <f t="shared" si="0"/>
        <v>0</v>
      </c>
      <c r="E13" s="3"/>
      <c r="F13" s="3"/>
      <c r="G13" s="7"/>
    </row>
    <row r="14" spans="1:7" x14ac:dyDescent="0.3">
      <c r="A14" s="2"/>
      <c r="B14" s="2"/>
      <c r="C14" s="2"/>
      <c r="D14" s="3">
        <f t="shared" si="0"/>
        <v>0</v>
      </c>
      <c r="E14" s="3"/>
      <c r="F14" s="3"/>
      <c r="G14" s="7"/>
    </row>
    <row r="15" spans="1:7" x14ac:dyDescent="0.3">
      <c r="A15" s="2"/>
      <c r="B15" s="2"/>
      <c r="C15" s="2"/>
      <c r="D15" s="3">
        <f t="shared" si="0"/>
        <v>0</v>
      </c>
      <c r="E15" s="3"/>
      <c r="F15" s="3"/>
      <c r="G15" s="7"/>
    </row>
    <row r="16" spans="1:7" x14ac:dyDescent="0.3">
      <c r="A16" s="2"/>
      <c r="B16" s="2"/>
      <c r="C16" s="2"/>
      <c r="D16" s="3">
        <f t="shared" si="0"/>
        <v>0</v>
      </c>
      <c r="E16" s="3"/>
      <c r="F16" s="3"/>
      <c r="G16" s="7"/>
    </row>
    <row r="17" spans="1:7" x14ac:dyDescent="0.3">
      <c r="A17" s="2"/>
      <c r="B17" s="2"/>
      <c r="C17" s="2"/>
      <c r="D17" s="3">
        <f t="shared" si="0"/>
        <v>0</v>
      </c>
      <c r="E17" s="3"/>
      <c r="F17" s="3"/>
      <c r="G17" s="7"/>
    </row>
    <row r="18" spans="1:7" x14ac:dyDescent="0.3">
      <c r="A18" s="2"/>
      <c r="B18" s="2"/>
      <c r="C18" s="2"/>
      <c r="D18" s="3">
        <f t="shared" si="0"/>
        <v>0</v>
      </c>
      <c r="E18" s="3"/>
      <c r="F18" s="3"/>
      <c r="G18" s="7"/>
    </row>
    <row r="19" spans="1:7" x14ac:dyDescent="0.3">
      <c r="A19" s="2"/>
      <c r="B19" s="2"/>
      <c r="C19" s="2"/>
      <c r="D19" s="3">
        <f t="shared" si="0"/>
        <v>0</v>
      </c>
      <c r="E19" s="3"/>
      <c r="F19" s="3"/>
      <c r="G19" s="7"/>
    </row>
    <row r="20" spans="1:7" x14ac:dyDescent="0.3">
      <c r="A20" s="2"/>
      <c r="B20" s="2"/>
      <c r="C20" s="2"/>
      <c r="D20" s="3">
        <f t="shared" si="0"/>
        <v>0</v>
      </c>
      <c r="E20" s="3"/>
      <c r="F20" s="3"/>
      <c r="G20" s="7"/>
    </row>
    <row r="21" spans="1:7" x14ac:dyDescent="0.3">
      <c r="A21" s="2"/>
      <c r="B21" s="2"/>
      <c r="C21" s="2"/>
      <c r="D21" s="3">
        <f t="shared" si="0"/>
        <v>0</v>
      </c>
      <c r="E21" s="3"/>
      <c r="F21" s="3"/>
      <c r="G21" s="7"/>
    </row>
    <row r="22" spans="1:7" x14ac:dyDescent="0.3">
      <c r="A22" s="2"/>
      <c r="B22" s="2"/>
      <c r="C22" s="2"/>
      <c r="D22" s="3">
        <f t="shared" si="0"/>
        <v>0</v>
      </c>
      <c r="E22" s="3"/>
      <c r="F22" s="3"/>
      <c r="G22" s="7"/>
    </row>
    <row r="23" spans="1:7" x14ac:dyDescent="0.3">
      <c r="A23" s="2"/>
      <c r="B23" s="2"/>
      <c r="C23" s="2"/>
      <c r="D23" s="3">
        <f t="shared" si="0"/>
        <v>0</v>
      </c>
      <c r="E23" s="3"/>
      <c r="F23" s="3"/>
      <c r="G23" s="7"/>
    </row>
    <row r="24" spans="1:7" x14ac:dyDescent="0.3">
      <c r="A24" s="2"/>
      <c r="B24" s="2"/>
      <c r="C24" s="2"/>
      <c r="D24" s="3">
        <f t="shared" si="0"/>
        <v>0</v>
      </c>
      <c r="E24" s="3"/>
      <c r="F24" s="3"/>
      <c r="G24" s="7"/>
    </row>
    <row r="25" spans="1:7" x14ac:dyDescent="0.3">
      <c r="A25" s="2"/>
      <c r="B25" s="2"/>
      <c r="C25" s="2"/>
      <c r="D25" s="3">
        <f t="shared" si="0"/>
        <v>0</v>
      </c>
      <c r="E25" s="3"/>
      <c r="F25" s="3"/>
      <c r="G25" s="7"/>
    </row>
    <row r="26" spans="1:7" x14ac:dyDescent="0.3">
      <c r="A26" s="2"/>
      <c r="B26" s="2"/>
      <c r="C26" s="2"/>
      <c r="D26" s="3">
        <f t="shared" si="0"/>
        <v>0</v>
      </c>
      <c r="E26" s="3"/>
      <c r="F26" s="3"/>
      <c r="G26" s="7"/>
    </row>
    <row r="27" spans="1:7" x14ac:dyDescent="0.3">
      <c r="A27" s="14"/>
      <c r="B27" s="14"/>
      <c r="C27" s="14"/>
      <c r="D27" s="15">
        <f t="shared" si="0"/>
        <v>0</v>
      </c>
      <c r="E27" s="15"/>
      <c r="F27" s="15"/>
      <c r="G27" s="16"/>
    </row>
    <row r="28" spans="1:7" x14ac:dyDescent="0.3">
      <c r="A28" s="14"/>
      <c r="B28" s="14"/>
      <c r="C28" s="14"/>
      <c r="D28" s="15">
        <f t="shared" si="0"/>
        <v>0</v>
      </c>
      <c r="E28" s="15"/>
      <c r="F28" s="15"/>
      <c r="G28" s="16"/>
    </row>
    <row r="29" spans="1:7" x14ac:dyDescent="0.3">
      <c r="A29" s="14"/>
      <c r="B29" s="14"/>
      <c r="C29" s="14"/>
      <c r="D29" s="15">
        <f t="shared" si="0"/>
        <v>0</v>
      </c>
      <c r="E29" s="15"/>
      <c r="F29" s="15"/>
      <c r="G29" s="16"/>
    </row>
    <row r="30" spans="1:7" x14ac:dyDescent="0.3">
      <c r="A30" s="2"/>
      <c r="B30" s="2"/>
      <c r="C30" s="2"/>
      <c r="D30" s="3"/>
      <c r="E30" s="3"/>
      <c r="F30" s="3"/>
      <c r="G30" s="7"/>
    </row>
    <row r="31" spans="1:7" x14ac:dyDescent="0.3">
      <c r="A31" s="2"/>
      <c r="B31" s="4" t="s">
        <v>82</v>
      </c>
      <c r="C31" s="4"/>
      <c r="D31" s="5">
        <f>SUM(D4:D30)</f>
        <v>0</v>
      </c>
      <c r="E31" s="5">
        <f>SUM(E4:E30)</f>
        <v>0</v>
      </c>
      <c r="F31" s="5">
        <f>SUM(F4:F30)</f>
        <v>0</v>
      </c>
      <c r="G31" s="6">
        <f>SUM(G4:G30)</f>
        <v>0</v>
      </c>
    </row>
    <row r="32" spans="1:7" x14ac:dyDescent="0.3">
      <c r="A32" s="2"/>
      <c r="B32" s="2"/>
      <c r="C32" s="2"/>
      <c r="D32" s="3"/>
      <c r="E32" s="3"/>
      <c r="F32" s="3"/>
      <c r="G32" s="7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9C403-F076-440C-ADC0-CC264FDD812D}">
  <dimension ref="A2:J32"/>
  <sheetViews>
    <sheetView workbookViewId="0">
      <selection activeCell="J9" sqref="J9"/>
    </sheetView>
  </sheetViews>
  <sheetFormatPr baseColWidth="10" defaultRowHeight="14.4" x14ac:dyDescent="0.3"/>
  <cols>
    <col min="2" max="2" width="19" bestFit="1" customWidth="1"/>
  </cols>
  <sheetData>
    <row r="2" spans="1:10" x14ac:dyDescent="0.3">
      <c r="A2" s="4"/>
      <c r="B2" s="4"/>
      <c r="C2" s="4"/>
      <c r="D2" s="5"/>
      <c r="E2" s="9">
        <v>2026</v>
      </c>
      <c r="F2" s="5"/>
      <c r="G2" s="13">
        <v>2027</v>
      </c>
      <c r="H2" t="s">
        <v>91</v>
      </c>
      <c r="I2" t="s">
        <v>98</v>
      </c>
    </row>
    <row r="3" spans="1:10" x14ac:dyDescent="0.3">
      <c r="A3" s="4" t="s">
        <v>1</v>
      </c>
      <c r="B3" s="4" t="s">
        <v>2</v>
      </c>
      <c r="C3" s="4" t="s">
        <v>4</v>
      </c>
      <c r="D3" s="5" t="s">
        <v>0</v>
      </c>
      <c r="E3" s="5" t="s">
        <v>84</v>
      </c>
      <c r="F3" s="5" t="s">
        <v>83</v>
      </c>
      <c r="G3" s="6" t="s">
        <v>5</v>
      </c>
    </row>
    <row r="4" spans="1:10" x14ac:dyDescent="0.3">
      <c r="A4" s="2">
        <v>10421</v>
      </c>
      <c r="B4" s="2" t="s">
        <v>89</v>
      </c>
      <c r="C4" s="2" t="s">
        <v>90</v>
      </c>
      <c r="D4" s="3">
        <f t="shared" ref="D4:D29" si="0">SUM(E4:F4)</f>
        <v>13070</v>
      </c>
      <c r="E4" s="3">
        <v>13070</v>
      </c>
      <c r="F4" s="3"/>
      <c r="G4" s="7">
        <v>13070</v>
      </c>
      <c r="H4" t="s">
        <v>92</v>
      </c>
    </row>
    <row r="5" spans="1:10" x14ac:dyDescent="0.3">
      <c r="A5" s="2">
        <v>10438</v>
      </c>
      <c r="B5" s="2" t="s">
        <v>93</v>
      </c>
      <c r="C5" s="2" t="s">
        <v>94</v>
      </c>
      <c r="D5" s="3">
        <f t="shared" si="0"/>
        <v>6569</v>
      </c>
      <c r="E5" s="3">
        <v>6569</v>
      </c>
      <c r="F5" s="3"/>
      <c r="G5" s="7">
        <v>6569</v>
      </c>
      <c r="H5" t="s">
        <v>95</v>
      </c>
    </row>
    <row r="6" spans="1:10" x14ac:dyDescent="0.3">
      <c r="A6" s="2"/>
      <c r="B6" s="2" t="s">
        <v>96</v>
      </c>
      <c r="C6" s="2"/>
      <c r="D6" s="3">
        <f t="shared" si="0"/>
        <v>5110</v>
      </c>
      <c r="E6" s="3">
        <f>2500+2610</f>
        <v>5110</v>
      </c>
      <c r="F6" s="3"/>
      <c r="G6" s="7">
        <v>7830</v>
      </c>
      <c r="H6" t="s">
        <v>97</v>
      </c>
      <c r="J6" t="s">
        <v>99</v>
      </c>
    </row>
    <row r="7" spans="1:10" x14ac:dyDescent="0.3">
      <c r="A7" s="2"/>
      <c r="B7" s="2"/>
      <c r="C7" s="2"/>
      <c r="D7" s="3">
        <f t="shared" si="0"/>
        <v>0</v>
      </c>
      <c r="E7" s="3"/>
      <c r="F7" s="3"/>
      <c r="G7" s="7"/>
    </row>
    <row r="8" spans="1:10" x14ac:dyDescent="0.3">
      <c r="A8" s="2"/>
      <c r="B8" s="2"/>
      <c r="C8" s="2"/>
      <c r="D8" s="3">
        <f t="shared" si="0"/>
        <v>0</v>
      </c>
      <c r="E8" s="3"/>
      <c r="F8" s="3"/>
      <c r="G8" s="7"/>
    </row>
    <row r="9" spans="1:10" x14ac:dyDescent="0.3">
      <c r="A9" s="2"/>
      <c r="B9" s="2"/>
      <c r="C9" s="2"/>
      <c r="D9" s="3">
        <f t="shared" si="0"/>
        <v>0</v>
      </c>
      <c r="E9" s="3"/>
      <c r="F9" s="3"/>
      <c r="G9" s="7"/>
    </row>
    <row r="10" spans="1:10" x14ac:dyDescent="0.3">
      <c r="A10" s="2"/>
      <c r="B10" s="2"/>
      <c r="C10" s="2"/>
      <c r="D10" s="3">
        <f t="shared" si="0"/>
        <v>0</v>
      </c>
      <c r="E10" s="3"/>
      <c r="F10" s="3"/>
      <c r="G10" s="7"/>
    </row>
    <row r="11" spans="1:10" x14ac:dyDescent="0.3">
      <c r="A11" s="2"/>
      <c r="B11" s="2"/>
      <c r="C11" s="2"/>
      <c r="D11" s="3">
        <f t="shared" si="0"/>
        <v>0</v>
      </c>
      <c r="E11" s="3"/>
      <c r="F11" s="3"/>
      <c r="G11" s="7"/>
    </row>
    <row r="12" spans="1:10" x14ac:dyDescent="0.3">
      <c r="A12" s="2"/>
      <c r="B12" s="2"/>
      <c r="C12" s="2"/>
      <c r="D12" s="3">
        <f t="shared" si="0"/>
        <v>0</v>
      </c>
      <c r="E12" s="3"/>
      <c r="F12" s="3"/>
      <c r="G12" s="7"/>
    </row>
    <row r="13" spans="1:10" x14ac:dyDescent="0.3">
      <c r="A13" s="2"/>
      <c r="B13" s="2"/>
      <c r="C13" s="2"/>
      <c r="D13" s="3">
        <f t="shared" si="0"/>
        <v>0</v>
      </c>
      <c r="E13" s="3"/>
      <c r="F13" s="3"/>
      <c r="G13" s="7"/>
    </row>
    <row r="14" spans="1:10" x14ac:dyDescent="0.3">
      <c r="A14" s="2"/>
      <c r="B14" s="2"/>
      <c r="C14" s="2"/>
      <c r="D14" s="3">
        <f t="shared" si="0"/>
        <v>0</v>
      </c>
      <c r="E14" s="3"/>
      <c r="F14" s="3"/>
      <c r="G14" s="7"/>
    </row>
    <row r="15" spans="1:10" x14ac:dyDescent="0.3">
      <c r="A15" s="2"/>
      <c r="B15" s="2"/>
      <c r="C15" s="2"/>
      <c r="D15" s="3">
        <f t="shared" si="0"/>
        <v>0</v>
      </c>
      <c r="E15" s="3"/>
      <c r="F15" s="3"/>
      <c r="G15" s="7"/>
    </row>
    <row r="16" spans="1:10" x14ac:dyDescent="0.3">
      <c r="A16" s="2"/>
      <c r="B16" s="2"/>
      <c r="C16" s="2"/>
      <c r="D16" s="3">
        <f t="shared" si="0"/>
        <v>0</v>
      </c>
      <c r="E16" s="3"/>
      <c r="F16" s="3"/>
      <c r="G16" s="7"/>
    </row>
    <row r="17" spans="1:7" x14ac:dyDescent="0.3">
      <c r="A17" s="2"/>
      <c r="B17" s="2"/>
      <c r="C17" s="2"/>
      <c r="D17" s="3">
        <f t="shared" si="0"/>
        <v>0</v>
      </c>
      <c r="E17" s="3"/>
      <c r="F17" s="3"/>
      <c r="G17" s="7"/>
    </row>
    <row r="18" spans="1:7" x14ac:dyDescent="0.3">
      <c r="A18" s="2"/>
      <c r="B18" s="2"/>
      <c r="C18" s="2"/>
      <c r="D18" s="3">
        <f t="shared" si="0"/>
        <v>0</v>
      </c>
      <c r="E18" s="3"/>
      <c r="F18" s="3"/>
      <c r="G18" s="7"/>
    </row>
    <row r="19" spans="1:7" x14ac:dyDescent="0.3">
      <c r="A19" s="2"/>
      <c r="B19" s="2"/>
      <c r="C19" s="2"/>
      <c r="D19" s="3">
        <f t="shared" si="0"/>
        <v>0</v>
      </c>
      <c r="E19" s="3"/>
      <c r="F19" s="3"/>
      <c r="G19" s="7"/>
    </row>
    <row r="20" spans="1:7" x14ac:dyDescent="0.3">
      <c r="A20" s="2"/>
      <c r="B20" s="2"/>
      <c r="C20" s="2"/>
      <c r="D20" s="3">
        <f t="shared" si="0"/>
        <v>0</v>
      </c>
      <c r="E20" s="3"/>
      <c r="F20" s="3"/>
      <c r="G20" s="7"/>
    </row>
    <row r="21" spans="1:7" x14ac:dyDescent="0.3">
      <c r="A21" s="2"/>
      <c r="B21" s="2"/>
      <c r="C21" s="2"/>
      <c r="D21" s="3">
        <f t="shared" si="0"/>
        <v>0</v>
      </c>
      <c r="E21" s="3"/>
      <c r="F21" s="3"/>
      <c r="G21" s="7"/>
    </row>
    <row r="22" spans="1:7" x14ac:dyDescent="0.3">
      <c r="A22" s="2"/>
      <c r="B22" s="2"/>
      <c r="C22" s="2"/>
      <c r="D22" s="3">
        <f t="shared" si="0"/>
        <v>0</v>
      </c>
      <c r="E22" s="3"/>
      <c r="F22" s="3"/>
      <c r="G22" s="7"/>
    </row>
    <row r="23" spans="1:7" x14ac:dyDescent="0.3">
      <c r="A23" s="2"/>
      <c r="B23" s="2"/>
      <c r="C23" s="2"/>
      <c r="D23" s="3">
        <f t="shared" si="0"/>
        <v>0</v>
      </c>
      <c r="E23" s="3"/>
      <c r="F23" s="3"/>
      <c r="G23" s="7"/>
    </row>
    <row r="24" spans="1:7" x14ac:dyDescent="0.3">
      <c r="A24" s="2"/>
      <c r="B24" s="2"/>
      <c r="C24" s="2"/>
      <c r="D24" s="3">
        <f t="shared" si="0"/>
        <v>0</v>
      </c>
      <c r="E24" s="3"/>
      <c r="F24" s="3"/>
      <c r="G24" s="7"/>
    </row>
    <row r="25" spans="1:7" x14ac:dyDescent="0.3">
      <c r="A25" s="2"/>
      <c r="B25" s="2"/>
      <c r="C25" s="2"/>
      <c r="D25" s="3">
        <f t="shared" si="0"/>
        <v>0</v>
      </c>
      <c r="E25" s="3"/>
      <c r="F25" s="3"/>
      <c r="G25" s="7"/>
    </row>
    <row r="26" spans="1:7" x14ac:dyDescent="0.3">
      <c r="A26" s="2"/>
      <c r="B26" s="2"/>
      <c r="C26" s="2"/>
      <c r="D26" s="3">
        <f t="shared" si="0"/>
        <v>0</v>
      </c>
      <c r="E26" s="3"/>
      <c r="F26" s="3"/>
      <c r="G26" s="7"/>
    </row>
    <row r="27" spans="1:7" x14ac:dyDescent="0.3">
      <c r="A27" s="14"/>
      <c r="B27" s="14"/>
      <c r="C27" s="14"/>
      <c r="D27" s="15">
        <f t="shared" si="0"/>
        <v>0</v>
      </c>
      <c r="E27" s="15"/>
      <c r="F27" s="15"/>
      <c r="G27" s="16"/>
    </row>
    <row r="28" spans="1:7" x14ac:dyDescent="0.3">
      <c r="A28" s="14"/>
      <c r="B28" s="14"/>
      <c r="C28" s="14"/>
      <c r="D28" s="15">
        <f t="shared" si="0"/>
        <v>0</v>
      </c>
      <c r="E28" s="15"/>
      <c r="F28" s="15"/>
      <c r="G28" s="16"/>
    </row>
    <row r="29" spans="1:7" x14ac:dyDescent="0.3">
      <c r="A29" s="14"/>
      <c r="B29" s="14"/>
      <c r="C29" s="14"/>
      <c r="D29" s="15">
        <f t="shared" si="0"/>
        <v>0</v>
      </c>
      <c r="E29" s="15"/>
      <c r="F29" s="15"/>
      <c r="G29" s="16"/>
    </row>
    <row r="30" spans="1:7" x14ac:dyDescent="0.3">
      <c r="A30" s="2"/>
      <c r="B30" s="2"/>
      <c r="C30" s="2"/>
      <c r="D30" s="3"/>
      <c r="E30" s="3"/>
      <c r="F30" s="3"/>
      <c r="G30" s="7"/>
    </row>
    <row r="31" spans="1:7" x14ac:dyDescent="0.3">
      <c r="A31" s="2"/>
      <c r="B31" s="4" t="s">
        <v>82</v>
      </c>
      <c r="C31" s="4"/>
      <c r="D31" s="5">
        <f>SUM(D4:D30)</f>
        <v>24749</v>
      </c>
      <c r="E31" s="5">
        <f>SUM(E4:E30)</f>
        <v>24749</v>
      </c>
      <c r="F31" s="5">
        <f>SUM(F4:F30)</f>
        <v>0</v>
      </c>
      <c r="G31" s="6">
        <f>SUM(G4:G30)</f>
        <v>27469</v>
      </c>
    </row>
    <row r="32" spans="1:7" x14ac:dyDescent="0.3">
      <c r="A32" s="2"/>
      <c r="B32" s="2"/>
      <c r="C32" s="2"/>
      <c r="D32" s="3"/>
      <c r="E32" s="3"/>
      <c r="F32" s="3"/>
      <c r="G32" s="7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9E33F-00E8-4D95-87F3-348D8A55F702}">
  <dimension ref="A1"/>
  <sheetViews>
    <sheetView topLeftCell="A26" workbookViewId="0">
      <selection sqref="A1:H47"/>
    </sheetView>
  </sheetViews>
  <sheetFormatPr baseColWidth="10" defaultRowHeight="14.4" x14ac:dyDescent="0.3"/>
  <sheetData/>
  <pageMargins left="0.7" right="0.7" top="0.78740157499999996" bottom="0.78740157499999996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2024_2025</vt:lpstr>
      <vt:lpstr>2025_2026</vt:lpstr>
      <vt:lpstr>2026_2027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Eigentümer</dc:creator>
  <cp:lastModifiedBy>Eigentümer</cp:lastModifiedBy>
  <cp:lastPrinted>2026-05-05T19:02:38Z</cp:lastPrinted>
  <dcterms:created xsi:type="dcterms:W3CDTF">2026-04-29T17:16:53Z</dcterms:created>
  <dcterms:modified xsi:type="dcterms:W3CDTF">2026-09-18T14:52:00Z</dcterms:modified>
</cp:coreProperties>
</file>