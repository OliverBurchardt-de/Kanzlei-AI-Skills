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cb99fb93d4d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euerfall" sheetId="1" r:id="R48f0ca0deff74b37"/>
    <x:sheet xmlns:r="http://schemas.openxmlformats.org/officeDocument/2006/relationships" name="Eintragungen" sheetId="2" r:id="Rd91d057cac264671"/>
    <x:sheet xmlns:r="http://schemas.openxmlformats.org/officeDocument/2006/relationships" name="Berechnungen" sheetId="3" r:id="R268abf506c2e4654"/>
    <x:sheet xmlns:r="http://schemas.openxmlformats.org/officeDocument/2006/relationships" name="Belege" sheetId="4" r:id="Rbafec10a9a654098"/>
    <x:sheet xmlns:r="http://schemas.openxmlformats.org/officeDocument/2006/relationships" name="Vermietung" sheetId="5" r:id="Raedd90d37c294c48"/>
    <x:sheet xmlns:r="http://schemas.openxmlformats.org/officeDocument/2006/relationships" name="Vorjahresabgleich" sheetId="6" r:id="R8ad97e1533404191"/>
    <x:sheet xmlns:r="http://schemas.openxmlformats.org/officeDocument/2006/relationships" name="Prueffalle" sheetId="7" r:id="Rbe5171e7652343e9"/>
    <x:sheet xmlns:r="http://schemas.openxmlformats.org/officeDocument/2006/relationships" name="Uploadmanifest" sheetId="8" r:id="R4c584aa09125428f"/>
    <x:sheet xmlns:r="http://schemas.openxmlformats.org/officeDocument/2006/relationships" name="Listen" sheetId="9" r:id="Rd46772e168b6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#,##0.00;[Red]-#,##0.00"/>
    <x:numFmt numFmtId="203" formatCode="0.00%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18324A"/>
      <x:name val="Carlito"/>
    </x:font>
    <x:font>
      <x:b/>
      <x:sz val="11"/>
      <x:color rgb="FFFFFFFF"/>
      <x:name val="Carlito"/>
    </x:font>
    <x:font>
      <x:b/>
      <x:sz val="11"/>
      <x:color rgb="FF18324A"/>
      <x:name val="Carlito"/>
    </x:font>
    <x:font>
      <x:b/>
      <x:sz val="10"/>
      <x:color rgb="FFFFFFFF"/>
      <x:name val="Carlito"/>
    </x:font>
    <x:font>
      <x:sz val="10"/>
      <x:color rgb="FF20262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24A"/>
      </x:patternFill>
    </x:fill>
    <x:fill>
      <x:patternFill patternType="solid">
        <x:fgColor rgb="FFEAF1F8"/>
      </x:patternFill>
    </x:fill>
    <x:fill>
      <x:patternFill patternType="solid">
        <x:fgColor rgb="FF0F6B78"/>
      </x:patternFill>
    </x:fill>
    <x:fill>
      <x:patternFill patternType="solid">
        <x:fgColor rgb="FFE7EBEF"/>
      </x:patternFill>
    </x:fill>
    <x:fill>
      <x:patternFill patternType="solid">
        <x:fgColor rgb="FFFFF4CC"/>
      </x:patternFill>
    </x:fill>
    <x:fill>
      <x:patternFill patternType="solid">
        <x:fgColor rgb="FFFFF2CC"/>
      </x:patternFill>
    </x:fill>
  </x:fills>
  <x:borders count="13">
    <x:border/>
    <x:border>
      <x:left style="thin">
        <x:color rgb="FFC8D0D8"/>
      </x:left>
      <x:top style="thin">
        <x:color rgb="FFC8D0D8"/>
      </x:top>
    </x:border>
    <x:border>
      <x:top style="thin">
        <x:color rgb="FFC8D0D8"/>
      </x:top>
    </x:border>
    <x:border>
      <x:right style="thin">
        <x:color rgb="FFC8D0D8"/>
      </x:right>
      <x:top style="thin">
        <x:color rgb="FFC8D0D8"/>
      </x:top>
    </x:border>
    <x:border>
      <x:left style="thin">
        <x:color rgb="FFC8D0D8"/>
      </x:left>
      <x:bottom style="thin">
        <x:color rgb="FFC8D0D8"/>
      </x:bottom>
    </x:border>
    <x:border>
      <x:bottom style="thin">
        <x:color rgb="FFC8D0D8"/>
      </x:bottom>
    </x:border>
    <x:border>
      <x:right style="thin">
        <x:color rgb="FFC8D0D8"/>
      </x:right>
      <x:bottom style="thin">
        <x:color rgb="FFC8D0D8"/>
      </x:bottom>
    </x:border>
    <x:border>
      <x:left style="thin">
        <x:color rgb="FFC8D0D8"/>
      </x:left>
    </x:border>
    <x:border>
      <x:right style="thin">
        <x:color rgb="FFC8D0D8"/>
      </x:right>
    </x:border>
    <x:border>
      <x:left style="thin">
        <x:color rgb="FFC8D0D8"/>
      </x:left>
      <x:right style="thin">
        <x:color rgb="FFC8D0D8"/>
      </x:right>
      <x:top style="thin">
        <x:color rgb="FFC8D0D8"/>
      </x:top>
      <x:bottom style="thin">
        <x:color rgb="FFC8D0D8"/>
      </x:bottom>
    </x:border>
    <x:border>
      <x:bottom style="thin">
        <x:color rgb="FFE7EBEF"/>
      </x:bottom>
    </x:border>
    <x:border>
      <x:top style="thin">
        <x:color rgb="FFE7EBEF"/>
      </x:top>
      <x:bottom style="thin">
        <x:color rgb="FFE7EBEF"/>
      </x:bottom>
    </x:border>
    <x:border>
      <x:top style="thin">
        <x:color rgb="FFE7EBEF"/>
      </x:top>
      <x:bottom style="thin">
        <x:color rgb="FFC8D0D8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4" fillId="5" borderId="7" xfId="0" applyNumberFormat="1" applyFont="1" applyFill="1" applyBorder="1"/>
    <x:xf numFmtId="0" fontId="0" fillId="6" borderId="8" xfId="0" applyNumberFormat="1" applyFont="1" applyFill="1" applyBorder="1"/>
    <x:xf numFmtId="0" fontId="4" fillId="5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6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1" xfId="0" applyNumberFormat="1" applyFont="1" applyFill="1" applyBorder="1"/>
    <x:xf numFmtId="0" fontId="4" fillId="7" borderId="2" xfId="0" applyNumberFormat="1" applyFont="1" applyFill="1" applyBorder="1"/>
    <x:xf numFmtId="0" fontId="4" fillId="7" borderId="3" xfId="0" applyNumberFormat="1" applyFont="1" applyFill="1" applyBorder="1"/>
    <x:xf numFmtId="0" fontId="4" fillId="7" borderId="7" xfId="0" applyNumberFormat="1" applyFont="1" applyFill="1" applyBorder="1"/>
    <x:xf numFmtId="0" fontId="4" fillId="7" borderId="8" xfId="0" applyNumberFormat="1" applyFont="1" applyFill="1" applyBorder="1"/>
    <x:xf numFmtId="0" fontId="4" fillId="7" borderId="4" xfId="0" applyNumberFormat="1" applyFont="1" applyFill="1" applyBorder="1"/>
    <x:xf numFmtId="0" fontId="4" fillId="7" borderId="5" xfId="0" applyNumberFormat="1" applyFont="1" applyFill="1" applyBorder="1"/>
    <x:xf numFmtId="0" fontId="4" fillId="7" borderId="6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4" fillId="7" borderId="3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4" fillId="7" borderId="8" xfId="0" applyNumberFormat="1" applyFont="1" applyFill="1" applyBorder="1" applyAlignment="1">
      <x:alignment wrapText="1"/>
    </x:xf>
    <x:xf numFmtId="0" fontId="4" fillId="7" borderId="4" xfId="0" applyNumberFormat="1" applyFont="1" applyFill="1" applyBorder="1" applyAlignment="1">
      <x:alignment wrapText="1"/>
    </x:xf>
    <x:xf numFmtId="0" fontId="4" fillId="7" borderId="5" xfId="0" applyNumberFormat="1" applyFont="1" applyFill="1" applyBorder="1" applyAlignment="1">
      <x:alignment wrapText="1"/>
    </x:xf>
    <x:xf numFmtId="0" fontId="4" fillId="7" borderId="6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center" wrapText="1"/>
    </x:xf>
    <x:xf numFmtId="0" fontId="4" fillId="7" borderId="2" xfId="0" applyNumberFormat="1" applyFont="1" applyFill="1" applyBorder="1" applyAlignment="1">
      <x:alignment vertical="center" wrapText="1"/>
    </x:xf>
    <x:xf numFmtId="0" fontId="4" fillId="7" borderId="3" xfId="0" applyNumberFormat="1" applyFont="1" applyFill="1" applyBorder="1" applyAlignment="1">
      <x:alignment vertical="center" wrapText="1"/>
    </x:xf>
    <x:xf numFmtId="0" fontId="4" fillId="7" borderId="7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7" borderId="8" xfId="0" applyNumberFormat="1" applyFont="1" applyFill="1" applyBorder="1" applyAlignment="1">
      <x:alignment vertical="center" wrapText="1"/>
    </x:xf>
    <x:xf numFmtId="0" fontId="4" fillId="7" borderId="4" xfId="0" applyNumberFormat="1" applyFont="1" applyFill="1" applyBorder="1" applyAlignment="1">
      <x:alignment vertical="center" wrapText="1"/>
    </x:xf>
    <x:xf numFmtId="0" fontId="4" fillId="7" borderId="5" xfId="0" applyNumberFormat="1" applyFont="1" applyFill="1" applyBorder="1" applyAlignment="1">
      <x:alignment vertical="center" wrapText="1"/>
    </x:xf>
    <x:xf numFmtId="0" fontId="4" fillId="7" borderId="6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/>
    <x:xf numFmtId="0" fontId="5" fillId="4" borderId="9" xfId="0" applyNumberFormat="1" applyFont="1" applyFill="1" applyBorder="1"/>
    <x:xf numFmtId="0" fontId="5" fillId="4" borderId="9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0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2" xfId="0" applyNumberFormat="1" applyFont="1" applyFill="1" applyBorder="1" applyAlignment="1">
      <x:alignment vertical="top" wrapText="1"/>
    </x:xf>
    <x:xf numFmtId="201" fontId="6" fillId="0" borderId="10" xfId="0" applyNumberFormat="1" applyFont="1" applyFill="1" applyBorder="1" applyAlignment="1">
      <x:alignment vertical="top" wrapText="1"/>
    </x:xf>
    <x:xf numFmtId="201" fontId="6" fillId="0" borderId="11" xfId="0" applyNumberFormat="1" applyFont="1" applyFill="1" applyBorder="1" applyAlignment="1">
      <x:alignment vertical="top" wrapText="1"/>
    </x:xf>
    <x:xf numFmtId="201" fontId="6" fillId="0" borderId="12" xfId="0" applyNumberFormat="1" applyFont="1" applyFill="1" applyBorder="1" applyAlignment="1">
      <x:alignment vertical="top" wrapText="1"/>
    </x:xf>
    <x:xf numFmtId="202" fontId="6" fillId="0" borderId="10" xfId="0" applyNumberFormat="1" applyFont="1" applyFill="1" applyBorder="1" applyAlignment="1">
      <x:alignment vertical="top" wrapText="1"/>
    </x:xf>
    <x:xf numFmtId="202" fontId="6" fillId="0" borderId="11" xfId="0" applyNumberFormat="1" applyFont="1" applyFill="1" applyBorder="1" applyAlignment="1">
      <x:alignment vertical="top" wrapText="1"/>
    </x:xf>
    <x:xf numFmtId="202" fontId="6" fillId="0" borderId="12" xfId="0" applyNumberFormat="1" applyFont="1" applyFill="1" applyBorder="1" applyAlignment="1">
      <x:alignment vertical="top" wrapText="1"/>
    </x:xf>
    <x:xf numFmtId="203" fontId="6" fillId="0" borderId="10" xfId="0" applyNumberFormat="1" applyFont="1" applyFill="1" applyBorder="1" applyAlignment="1">
      <x:alignment vertical="top" wrapText="1"/>
    </x:xf>
    <x:xf numFmtId="203" fontId="6" fillId="0" borderId="11" xfId="0" applyNumberFormat="1" applyFont="1" applyFill="1" applyBorder="1" applyAlignment="1">
      <x:alignment vertical="top" wrapText="1"/>
    </x:xf>
    <x:xf numFmtId="203" fontId="6" fillId="0" borderId="12" xfId="0" applyNumberFormat="1" applyFont="1" applyFill="1" applyBorder="1" applyAlignment="1">
      <x:alignment vertical="top" wrapText="1"/>
    </x:xf>
  </x:cellXfs>
  <x:cellStyles count="1">
    <x:cellStyle name="Normal" xfId="0"/>
  </x:cellStyles>
  <x:dxfs count="23">
    <x:dxf>
      <x:font>
        <x:color rgb="FF18324A"/>
      </x:font>
      <x:fill>
        <x:patternFill patternType="solid">
          <x:bgColor rgb="FFD9EAD3"/>
        </x:patternFill>
      </x:fill>
    </x:dxf>
    <x:dxf>
      <x:font>
        <x:color rgb="FF18324A"/>
      </x:font>
      <x:fill>
        <x:patternFill patternType="solid">
          <x:bgColor rgb="FFFFF2CC"/>
        </x:patternFill>
      </x:fill>
    </x:dxf>
    <x:dxf>
      <x:font>
        <x:color rgb="FF18324A"/>
      </x:font>
      <x:fill>
        <x:patternFill patternType="solid">
          <x:bgColor rgb="FFFCE5CD"/>
        </x:patternFill>
      </x:fill>
    </x:dxf>
    <x:dxf>
      <x:font>
        <x:color rgb="FF18324A"/>
      </x:font>
      <x:fill>
        <x:patternFill patternType="solid">
          <x:bgColor rgb="FFE6B8AF"/>
        </x:patternFill>
      </x:fill>
    </x:dxf>
    <x:dxf>
      <x:font>
        <x:color rgb="FF18324A"/>
      </x:font>
      <x:fill>
        <x:patternFill patternType="solid">
          <x:bgColor rgb="FFD9EAD3"/>
        </x:patternFill>
      </x:fill>
    </x:dxf>
    <x:dxf>
      <x:font>
        <x:color rgb="FF18324A"/>
      </x:font>
      <x:fill>
        <x:patternFill patternType="solid">
          <x:bgColor rgb="FFFFF2CC"/>
        </x:patternFill>
      </x:fill>
    </x:dxf>
    <x:dxf>
      <x:font>
        <x:color rgb="FF18324A"/>
      </x:font>
      <x:fill>
        <x:patternFill patternType="solid">
          <x:bgColor rgb="FFFCE5CD"/>
        </x:patternFill>
      </x:fill>
    </x:dxf>
    <x:dxf>
      <x:font>
        <x:color rgb="FF18324A"/>
      </x:font>
      <x:fill>
        <x:patternFill patternType="solid">
          <x:bgColor rgb="FFE6B8AF"/>
        </x:patternFill>
      </x:fill>
    </x:dxf>
    <x:dxf>
      <x:font>
        <x:color rgb="FF18324A"/>
      </x:font>
      <x:fill>
        <x:patternFill patternType="solid">
          <x:bgColor rgb="FFD9EAD3"/>
        </x:patternFill>
      </x:fill>
    </x:dxf>
    <x:dxf>
      <x:font>
        <x:color rgb="FF18324A"/>
      </x:font>
      <x:fill>
        <x:patternFill patternType="solid">
          <x:bgColor rgb="FFFFF2CC"/>
        </x:patternFill>
      </x:fill>
    </x:dxf>
    <x:dxf>
      <x:font>
        <x:color rgb="FF18324A"/>
      </x:font>
      <x:fill>
        <x:patternFill patternType="solid">
          <x:bgColor rgb="FFFCE5CD"/>
        </x:patternFill>
      </x:fill>
    </x:dxf>
    <x:dxf>
      <x:font>
        <x:color rgb="FF18324A"/>
      </x:font>
      <x:fill>
        <x:patternFill patternType="solid">
          <x:bgColor rgb="FFE6B8AF"/>
        </x:patternFill>
      </x:fill>
    </x:dxf>
    <x:dxf>
      <x:font>
        <x:color rgb="FF18324A"/>
      </x:font>
      <x:fill>
        <x:patternFill patternType="solid">
          <x:bgColor rgb="FFD9EAD3"/>
        </x:patternFill>
      </x:fill>
    </x:dxf>
    <x:dxf>
      <x:font>
        <x:color rgb="FF18324A"/>
      </x:font>
      <x:fill>
        <x:patternFill patternType="solid">
          <x:bgColor rgb="FFFFF2CC"/>
        </x:patternFill>
      </x:fill>
    </x:dxf>
    <x:dxf>
      <x:font>
        <x:color rgb="FF18324A"/>
      </x:font>
      <x:fill>
        <x:patternFill patternType="solid">
          <x:bgColor rgb="FFFCE5CD"/>
        </x:patternFill>
      </x:fill>
    </x:dxf>
    <x:dxf>
      <x:font>
        <x:color rgb="FF18324A"/>
      </x:font>
      <x:fill>
        <x:patternFill patternType="solid">
          <x:bgColor rgb="FFE6B8AF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ont>
        <x:color rgb="FF18324A"/>
      </x:font>
      <x:fill>
        <x:patternFill patternType="solid">
          <x:bgColor rgb="FFD9EAD3"/>
        </x:patternFill>
      </x:fill>
    </x:dxf>
    <x:dxf>
      <x:font>
        <x:color rgb="FF18324A"/>
      </x:font>
      <x:fill>
        <x:patternFill patternType="solid">
          <x:bgColor rgb="FFFFF2CC"/>
        </x:patternFill>
      </x:fill>
    </x:dxf>
    <x:dxf>
      <x:font>
        <x:color rgb="FF18324A"/>
      </x:font>
      <x:fill>
        <x:patternFill patternType="solid">
          <x:bgColor rgb="FFFCE5CD"/>
        </x:patternFill>
      </x:fill>
    </x:dxf>
    <x:dxf>
      <x:font>
        <x:color rgb="FF18324A"/>
      </x:font>
      <x:fill>
        <x:patternFill patternType="solid">
          <x:bgColor rgb="FFE6B8A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71e3c62b24ef9" /><Relationship Type="http://schemas.openxmlformats.org/officeDocument/2006/relationships/theme" Target="/xl/theme/theme1.xml" Id="R7ada24b7b638410b" /><Relationship Type="http://schemas.openxmlformats.org/officeDocument/2006/relationships/sharedStrings" Target="/xl/sharedStrings.xml" Id="R5cfcc6d4cbc945ca" /><Relationship Type="http://schemas.openxmlformats.org/officeDocument/2006/relationships/worksheet" Target="/xl/worksheets/sheet1.xml" Id="R48f0ca0deff74b37" /><Relationship Type="http://schemas.openxmlformats.org/officeDocument/2006/relationships/worksheet" Target="/xl/worksheets/sheet2.xml" Id="Rd91d057cac264671" /><Relationship Type="http://schemas.openxmlformats.org/officeDocument/2006/relationships/worksheet" Target="/xl/worksheets/sheet3.xml" Id="R268abf506c2e4654" /><Relationship Type="http://schemas.openxmlformats.org/officeDocument/2006/relationships/worksheet" Target="/xl/worksheets/sheet4.xml" Id="Rbafec10a9a654098" /><Relationship Type="http://schemas.openxmlformats.org/officeDocument/2006/relationships/worksheet" Target="/xl/worksheets/sheet5.xml" Id="Raedd90d37c294c48" /><Relationship Type="http://schemas.openxmlformats.org/officeDocument/2006/relationships/worksheet" Target="/xl/worksheets/sheet6.xml" Id="R8ad97e1533404191" /><Relationship Type="http://schemas.openxmlformats.org/officeDocument/2006/relationships/worksheet" Target="/xl/worksheets/sheet7.xml" Id="Rbe5171e7652343e9" /><Relationship Type="http://schemas.openxmlformats.org/officeDocument/2006/relationships/worksheet" Target="/xl/worksheets/sheet8.xml" Id="R4c584aa09125428f" /><Relationship Type="http://schemas.openxmlformats.org/officeDocument/2006/relationships/worksheet" Target="/xl/worksheets/sheet9.xml" Id="Rd46772e168b64141" /></Relationships>
</file>

<file path=xl/tables/table1.xml><?xml version="1.0" encoding="utf-8"?>
<x:table xmlns:x="http://schemas.openxmlformats.org/spreadsheetml/2006/main" id="1" name="EintragungenTable" displayName="EintragungenTable" ref="A5:N55" headerRowCount="1" totalsRowCount="0" totalsRowShown="0">
  <x:autoFilter ref="A5:N55"/>
  <x:tableColumns count="14">
    <x:tableColumn id="1" name="Positions-ID"/>
    <x:tableColumn id="2" name="Person"/>
    <x:tableColumn id="3" name="VZ"/>
    <x:tableColumn id="4" name="Formularstand"/>
    <x:tableColumn id="5" name="Anlage"/>
    <x:tableColumn id="6" name="Kennziffer/Feld"/>
    <x:tableColumn id="7" name="DATEV-Zielfeld"/>
    <x:tableColumn id="8" name="Betrag EUR"/>
    <x:tableColumn id="9" name="Berechnungs-ID"/>
    <x:tableColumn id="10" name="Quellen-IDs"/>
    <x:tableColumn id="11" name="Vorjahr EUR"/>
    <x:tableColumn id="12" name="Abweichung EUR"/>
    <x:tableColumn id="13" name="Status"/>
    <x:tableColumn id="14" name="Prüfhinwe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rechnungenTable" displayName="BerechnungenTable" ref="A5:I55" headerRowCount="1" totalsRowCount="0" totalsRowShown="0">
  <x:autoFilter ref="A5:I55"/>
  <x:tableColumns count="9">
    <x:tableColumn id="1" name="Berechnungs-ID"/>
    <x:tableColumn id="2" name="Positions-ID"/>
    <x:tableColumn id="3" name="Beschreibung"/>
    <x:tableColumn id="4" name="Quellen-IDs"/>
    <x:tableColumn id="5" name="Ausgangsbetrag EUR"/>
    <x:tableColumn id="6" name="Anteil"/>
    <x:tableColumn id="7" name="Ergebnis EUR"/>
    <x:tableColumn id="8" name="Methode/Annahme"/>
    <x:tableColumn id="9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elegeTable" displayName="BelegeTable" ref="A5:N55" headerRowCount="1" totalsRowCount="0" totalsRowShown="0">
  <x:autoFilter ref="A5:N55"/>
  <x:tableColumns count="14">
    <x:tableColumn id="1" name="Beleg-ID"/>
    <x:tableColumn id="2" name="Originalpfad"/>
    <x:tableColumn id="3" name="Originaldateiname"/>
    <x:tableColumn id="4" name="SHA-256 Original"/>
    <x:tableColumn id="5" name="Seiten"/>
    <x:tableColumn id="6" name="Person"/>
    <x:tableColumn id="7" name="Zeitraum"/>
    <x:tableColumn id="8" name="Thema"/>
    <x:tableColumn id="9" name="Objekt-ID"/>
    <x:tableColumn id="10" name="Lesestatus"/>
    <x:tableColumn id="11" name="Trennung nötig"/>
    <x:tableColumn id="12" name="Upload-IDs"/>
    <x:tableColumn id="13" name="Status"/>
    <x:tableColumn id="14" name="Hinwe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ermietungTable" displayName="VermietungTable" ref="A5:L55" headerRowCount="1" totalsRowCount="0" totalsRowShown="0">
  <x:autoFilter ref="A5:L55"/>
  <x:tableColumns count="12">
    <x:tableColumn id="1" name="Objekt-ID"/>
    <x:tableColumn id="2" name="Bezeichnung"/>
    <x:tableColumn id="3" name="Anschrift"/>
    <x:tableColumn id="4" name="Person"/>
    <x:tableColumn id="5" name="Eigentumsanteil"/>
    <x:tableColumn id="6" name="Vermietungszeitraum"/>
    <x:tableColumn id="7" name="Gesamtfläche qm"/>
    <x:tableColumn id="8" name="Vermietete Fläche qm"/>
    <x:tableColumn id="9" name="Flächenanteil"/>
    <x:tableColumn id="10" name="Quellen-IDs"/>
    <x:tableColumn id="11" name="Status"/>
    <x:tableColumn id="12" name="Prüfhinwe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orjahresabgleichTable" displayName="VorjahresabgleichTable" ref="A5:J55" headerRowCount="1" totalsRowCount="0" totalsRowShown="0">
  <x:autoFilter ref="A5:J55"/>
  <x:tableColumns count="10">
    <x:tableColumn id="1" name="Abgleich-ID"/>
    <x:tableColumn id="2" name="Person"/>
    <x:tableColumn id="3" name="Objekt-ID"/>
    <x:tableColumn id="4" name="Anlage/Sachverhalt"/>
    <x:tableColumn id="5" name="Vorjahr EUR"/>
    <x:tableColumn id="6" name="Aktuell EUR"/>
    <x:tableColumn id="7" name="Abweichung EUR"/>
    <x:tableColumn id="8" name="Klassifikation"/>
    <x:tableColumn id="9" name="Quellen-/Positions-IDs"/>
    <x:tableColumn id="10" name="Prüfhinwe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ueffalleTable" displayName="PrueffalleTable" ref="A5:J55" headerRowCount="1" totalsRowCount="0" totalsRowShown="0">
  <x:autoFilter ref="A5:J55"/>
  <x:tableColumns count="10">
    <x:tableColumn id="1" name="Prüffall-ID"/>
    <x:tableColumn id="2" name="Kategorie"/>
    <x:tableColumn id="3" name="Betroffene IDs"/>
    <x:tableColumn id="4" name="Sachverhalt"/>
    <x:tableColumn id="5" name="Vorläufige Behandlung"/>
    <x:tableColumn id="6" name="Fehlende Angabe/Unterlage"/>
    <x:tableColumn id="7" name="Nächste Handlung"/>
    <x:tableColumn id="8" name="Priorität"/>
    <x:tableColumn id="9" name="Status"/>
    <x:tableColumn id="10" name="Erledigungsnachwe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UploadmanifestTable" displayName="UploadmanifestTable" ref="A5:L55" headerRowCount="1" totalsRowCount="0" totalsRowShown="0">
  <x:autoFilter ref="A5:L55"/>
  <x:tableColumns count="12">
    <x:tableColumn id="1" name="Upload-ID"/>
    <x:tableColumn id="2" name="Upload-Dateiname"/>
    <x:tableColumn id="3" name="Beleg-ID Original"/>
    <x:tableColumn id="4" name="Originaldateiname"/>
    <x:tableColumn id="5" name="Seite von"/>
    <x:tableColumn id="6" name="Seite bis"/>
    <x:tableColumn id="7" name="Person"/>
    <x:tableColumn id="8" name="Thema/Anlage"/>
    <x:tableColumn id="9" name="Objekt-ID"/>
    <x:tableColumn id="10" name="SHA-256 Upload"/>
    <x:tableColumn id="11" name="Status"/>
    <x:tableColumn id="12" name="Hinwe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c0c968412a48c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43df580f8c48a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a8c428a408246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dd07bd495ab467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c778028a36465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a9178bc785044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afd182ddfcf4f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4" hidden="0" customWidth="1"/>
    <x:col min="4" max="4" width="24" hidden="0" customWidth="1"/>
    <x:col min="5" max="5" width="14" hidden="0" customWidth="1"/>
    <x:col min="6" max="6" width="4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Einkommensteuer - Steuerfall und Bearbeitungsstand</x:v>
      </x:c>
      <x:c r="B1" s="3"/>
      <x:c r="C1" s="3"/>
      <x:c r="D1" s="3"/>
      <x:c r="E1" s="3"/>
      <x:c r="F1" s="3"/>
      <x:c r="G1" s="3"/>
      <x:c r="H1" s="3"/>
    </x:row>
    <x:row r="2" ht="24" customHeight="1">
      <x:c r="A2" s="18" t="str">
        <x:v>Gelbe Felder sind Eingaben. Das Veranlagungsjahr je Fall festlegen; Zielsystem ist DATEV Einkommensteuer. Die Statusübersicht aktualisiert sich aus den weiteren Tabellenblättern.</x:v>
      </x:c>
      <x:c r="B2" s="19"/>
      <x:c r="C2" s="19"/>
      <x:c r="D2" s="19"/>
      <x:c r="E2" s="19"/>
      <x:c r="F2" s="19"/>
      <x:c r="G2" s="19"/>
      <x:c r="H2" s="20"/>
    </x:row>
    <x:row r="3" ht="24" customHeight="1">
      <x:c r="A3" s="21"/>
      <x:c r="B3" s="22"/>
      <x:c r="C3" s="22"/>
      <x:c r="D3" s="22"/>
      <x:c r="E3" s="22"/>
      <x:c r="F3" s="22"/>
      <x:c r="G3" s="22"/>
      <x:c r="H3" s="23"/>
    </x:row>
    <x:row r="5">
      <x:c r="A5" s="29" t="str">
        <x:v>Falldaten</x:v>
      </x:c>
      <x:c r="B5" s="30" t="str">
        <x:v>Wert</x:v>
      </x:c>
      <x:c r="D5" s="29" t="str">
        <x:v>Bearbeitungsstatus</x:v>
      </x:c>
      <x:c r="E5" s="30" t="str">
        <x:v>Anzahl</x:v>
      </x:c>
    </x:row>
    <x:row r="6">
      <x:c r="A6" s="31" t="str">
        <x:v>Fall-ID</x:v>
      </x:c>
      <x:c r="B6" s="32" t="str"/>
      <x:c r="D6" s="31" t="str">
        <x:v>bereit</x:v>
      </x:c>
      <x:c r="E6" s="36" t="n">
        <x:f>COUNTIF('Eintragungen'!$M$6:$M$55,"bereit")</x:f>
        <x:v>0</x:v>
      </x:c>
    </x:row>
    <x:row r="7">
      <x:c r="A7" s="31" t="str">
        <x:v>Veranlagungsjahr</x:v>
      </x:c>
      <x:c r="B7" s="32" t="str"/>
      <x:c r="D7" s="31" t="str">
        <x:v>prüfen</x:v>
      </x:c>
      <x:c r="E7" s="36" t="n">
        <x:f>COUNTIF('Eintragungen'!$M$6:$M$55,"prüfen")</x:f>
        <x:v>0</x:v>
      </x:c>
    </x:row>
    <x:row r="8">
      <x:c r="A8" s="31" t="str">
        <x:v>Person(en)</x:v>
      </x:c>
      <x:c r="B8" s="32" t="str"/>
      <x:c r="D8" s="31" t="str">
        <x:v>nachfordern</x:v>
      </x:c>
      <x:c r="E8" s="36" t="n">
        <x:f>COUNTIF('Eintragungen'!$M$6:$M$55,"nachfordern")</x:f>
        <x:v>0</x:v>
      </x:c>
    </x:row>
    <x:row r="9">
      <x:c r="A9" s="31" t="str">
        <x:v>Veranlagungsart</x:v>
      </x:c>
      <x:c r="B9" s="32" t="str"/>
      <x:c r="D9" s="31" t="str">
        <x:v>nicht verarbeitet</x:v>
      </x:c>
      <x:c r="E9" s="36" t="n">
        <x:f>COUNTIF('Eintragungen'!$M$6:$M$55,"nicht verarbeitet")</x:f>
        <x:v>0</x:v>
      </x:c>
    </x:row>
    <x:row r="10">
      <x:c r="A10" s="31" t="str">
        <x:v>Eingabeprogramm</x:v>
      </x:c>
      <x:c r="B10" s="32" t="str">
        <x:v>DATEV Einkommensteuer</x:v>
      </x:c>
      <x:c r="D10" s="31" t="str">
        <x:v>offene Prüffälle</x:v>
      </x:c>
      <x:c r="E10" s="36" t="n">
        <x:f>COUNTIF('Prueffalle'!$I$6:$I$55,"offen")</x:f>
        <x:v>0</x:v>
      </x:c>
    </x:row>
    <x:row r="11">
      <x:c r="A11" s="33" t="str">
        <x:v>Belegkanal</x:v>
      </x:c>
      <x:c r="B11" s="34" t="str">
        <x:v>DATEV Meine Steuern</x:v>
      </x:c>
      <x:c r="D11" s="33" t="str">
        <x:v>Uploaddateien bereit</x:v>
      </x:c>
      <x:c r="E11" s="37" t="n">
        <x:f>COUNTIF('Uploadmanifest'!$K$6:$K$55,"bereit")</x:f>
        <x:v>0</x:v>
      </x:c>
    </x:row>
    <x:row r="14">
      <x:c r="A14" s="57" t="str">
        <x:v>Freigabehinweis: Der Status 'bereit' bedeutet nur, dass Beleg, Berechnung und Zuordnung nachvollziehbar sind. Die fachliche Schlussprüfung und Dateneingabe bleiben menschliche Tätigkeiten.</x:v>
      </x:c>
      <x:c r="B14" s="58"/>
      <x:c r="C14" s="58"/>
      <x:c r="D14" s="58"/>
      <x:c r="E14" s="58"/>
      <x:c r="F14" s="58"/>
      <x:c r="G14" s="58"/>
      <x:c r="H14" s="59"/>
    </x:row>
    <x:row r="15">
      <x:c r="A15" s="60"/>
      <x:c r="B15" s="61"/>
      <x:c r="C15" s="61"/>
      <x:c r="D15" s="61"/>
      <x:c r="E15" s="61"/>
      <x:c r="F15" s="61"/>
      <x:c r="G15" s="61"/>
      <x:c r="H15" s="62"/>
    </x:row>
    <x:row r="16">
      <x:c r="A16" s="60"/>
      <x:c r="B16" s="61"/>
      <x:c r="C16" s="61"/>
      <x:c r="D16" s="61"/>
      <x:c r="E16" s="61"/>
      <x:c r="F16" s="61"/>
      <x:c r="G16" s="61"/>
      <x:c r="H16" s="62"/>
    </x:row>
    <x:row r="17">
      <x:c r="A17" s="63"/>
      <x:c r="B17" s="64"/>
      <x:c r="C17" s="64"/>
      <x:c r="D17" s="64"/>
      <x:c r="E17" s="64"/>
      <x:c r="F17" s="64"/>
      <x:c r="G17" s="64"/>
      <x:c r="H17" s="65"/>
    </x:row>
  </x:sheetData>
  <x:mergeCells>
    <x:mergeCell ref="A1:H1"/>
    <x:mergeCell ref="A2:H3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9" hidden="0" customWidth="1"/>
    <x:col min="4" max="4" width="15" hidden="0" customWidth="1"/>
    <x:col min="5" max="5" width="17" hidden="0" customWidth="1"/>
    <x:col min="6" max="6" width="24" hidden="0" customWidth="1"/>
    <x:col min="7" max="7" width="22" hidden="0" customWidth="1"/>
    <x:col min="8" max="8" width="14" hidden="0" customWidth="1"/>
    <x:col min="9" max="9" width="16" hidden="0" customWidth="1"/>
    <x:col min="10" max="10" width="20" hidden="0" customWidth="1"/>
    <x:col min="11" max="11" width="14" hidden="0" customWidth="1"/>
    <x:col min="12" max="12" width="16" hidden="0" customWidth="1"/>
    <x:col min="13" max="13" width="20" hidden="0" customWidth="1"/>
    <x:col min="14" max="14" width="38" hidden="0" customWidth="1"/>
  </x:cols>
  <x:sheetData>
    <x:row r="1" ht="30" customHeight="1">
      <x:c r="A1" s="3" t="str">
        <x:v>Eintragungen je Mantelbogen oder Anlage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18" t="str">
        <x:v>Eine Zeile je vorgeschlagener Eintragungsposition. Programmspezifische Felder nur verwenden, wenn sie für das Veranlagungsjahr bestätigt sind; andernfalls Status 'prüfen'.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3"/>
    </x:row>
    <x:row r="5" ht="32" customHeight="1">
      <x:c r="A5" s="69" t="str">
        <x:v>Positions-ID</x:v>
      </x:c>
      <x:c r="B5" s="69" t="str">
        <x:v>Person</x:v>
      </x:c>
      <x:c r="C5" s="69" t="str">
        <x:v>VZ</x:v>
      </x:c>
      <x:c r="D5" s="69" t="str">
        <x:v>Formularstand</x:v>
      </x:c>
      <x:c r="E5" s="69" t="str">
        <x:v>Anlage</x:v>
      </x:c>
      <x:c r="F5" s="69" t="str">
        <x:v>Kennziffer/Feld</x:v>
      </x:c>
      <x:c r="G5" s="69" t="str">
        <x:v>DATEV-Zielfeld</x:v>
      </x:c>
      <x:c r="H5" s="69" t="str">
        <x:v>Betrag EUR</x:v>
      </x:c>
      <x:c r="I5" s="69" t="str">
        <x:v>Berechnungs-ID</x:v>
      </x:c>
      <x:c r="J5" s="69" t="str">
        <x:v>Quellen-IDs</x:v>
      </x:c>
      <x:c r="K5" s="69" t="str">
        <x:v>Vorjahr EUR</x:v>
      </x:c>
      <x:c r="L5" s="69" t="str">
        <x:v>Abweichung EUR</x:v>
      </x:c>
      <x:c r="M5" s="69" t="str">
        <x:v>Status</x:v>
      </x:c>
      <x:c r="N5" s="69" t="str">
        <x:v>Prüfhinweis</x:v>
      </x:c>
    </x:row>
    <x:row r="6">
      <x:c r="A6" s="77" t="str">
        <x:v>POS-0001</x:v>
      </x:c>
      <x:c r="B6" s="77"/>
      <x:c r="C6" s="80"/>
      <x:c r="D6" s="77"/>
      <x:c r="E6" s="77"/>
      <x:c r="F6" s="77"/>
      <x:c r="G6" s="77"/>
      <x:c r="H6" s="83"/>
      <x:c r="I6" s="77"/>
      <x:c r="J6" s="77"/>
      <x:c r="K6" s="86"/>
      <x:c r="L6" s="86" t="str">
        <x:f>IF(OR(H6="",K6=""),"",H6-K6)</x:f>
      </x:c>
      <x:c r="M6" s="77"/>
      <x:c r="N6" s="77"/>
    </x:row>
    <x:row r="7">
      <x:c r="A7" s="78" t="str">
        <x:v>POS-0002</x:v>
      </x:c>
      <x:c r="B7" s="78"/>
      <x:c r="C7" s="81"/>
      <x:c r="D7" s="78"/>
      <x:c r="E7" s="78"/>
      <x:c r="F7" s="78"/>
      <x:c r="G7" s="78"/>
      <x:c r="H7" s="84"/>
      <x:c r="I7" s="78"/>
      <x:c r="J7" s="78"/>
      <x:c r="K7" s="87"/>
      <x:c r="L7" s="87" t="str">
        <x:f>IF(OR(H7="",K7=""),"",H7-K7)</x:f>
      </x:c>
      <x:c r="M7" s="78"/>
      <x:c r="N7" s="78"/>
    </x:row>
    <x:row r="8">
      <x:c r="A8" s="78" t="str">
        <x:v>POS-0003</x:v>
      </x:c>
      <x:c r="B8" s="78"/>
      <x:c r="C8" s="81"/>
      <x:c r="D8" s="78"/>
      <x:c r="E8" s="78"/>
      <x:c r="F8" s="78"/>
      <x:c r="G8" s="78"/>
      <x:c r="H8" s="84"/>
      <x:c r="I8" s="78"/>
      <x:c r="J8" s="78"/>
      <x:c r="K8" s="87"/>
      <x:c r="L8" s="87" t="str">
        <x:f>IF(OR(H8="",K8=""),"",H8-K8)</x:f>
      </x:c>
      <x:c r="M8" s="78"/>
      <x:c r="N8" s="78"/>
    </x:row>
    <x:row r="9">
      <x:c r="A9" s="78" t="str">
        <x:v>POS-0004</x:v>
      </x:c>
      <x:c r="B9" s="78"/>
      <x:c r="C9" s="81"/>
      <x:c r="D9" s="78"/>
      <x:c r="E9" s="78"/>
      <x:c r="F9" s="78"/>
      <x:c r="G9" s="78"/>
      <x:c r="H9" s="84"/>
      <x:c r="I9" s="78"/>
      <x:c r="J9" s="78"/>
      <x:c r="K9" s="87"/>
      <x:c r="L9" s="87" t="str">
        <x:f>IF(OR(H9="",K9=""),"",H9-K9)</x:f>
      </x:c>
      <x:c r="M9" s="78"/>
      <x:c r="N9" s="78"/>
    </x:row>
    <x:row r="10">
      <x:c r="A10" s="78" t="str">
        <x:v>POS-0005</x:v>
      </x:c>
      <x:c r="B10" s="78"/>
      <x:c r="C10" s="81"/>
      <x:c r="D10" s="78"/>
      <x:c r="E10" s="78"/>
      <x:c r="F10" s="78"/>
      <x:c r="G10" s="78"/>
      <x:c r="H10" s="84"/>
      <x:c r="I10" s="78"/>
      <x:c r="J10" s="78"/>
      <x:c r="K10" s="87"/>
      <x:c r="L10" s="87" t="str">
        <x:f>IF(OR(H10="",K10=""),"",H10-K10)</x:f>
      </x:c>
      <x:c r="M10" s="78"/>
      <x:c r="N10" s="78"/>
    </x:row>
    <x:row r="11">
      <x:c r="A11" s="78" t="str">
        <x:v>POS-0006</x:v>
      </x:c>
      <x:c r="B11" s="78"/>
      <x:c r="C11" s="81"/>
      <x:c r="D11" s="78"/>
      <x:c r="E11" s="78"/>
      <x:c r="F11" s="78"/>
      <x:c r="G11" s="78"/>
      <x:c r="H11" s="84"/>
      <x:c r="I11" s="78"/>
      <x:c r="J11" s="78"/>
      <x:c r="K11" s="87"/>
      <x:c r="L11" s="87" t="str">
        <x:f>IF(OR(H11="",K11=""),"",H11-K11)</x:f>
      </x:c>
      <x:c r="M11" s="78"/>
      <x:c r="N11" s="78"/>
    </x:row>
    <x:row r="12">
      <x:c r="A12" s="78" t="str">
        <x:v>POS-0007</x:v>
      </x:c>
      <x:c r="B12" s="78"/>
      <x:c r="C12" s="81"/>
      <x:c r="D12" s="78"/>
      <x:c r="E12" s="78"/>
      <x:c r="F12" s="78"/>
      <x:c r="G12" s="78"/>
      <x:c r="H12" s="84"/>
      <x:c r="I12" s="78"/>
      <x:c r="J12" s="78"/>
      <x:c r="K12" s="87"/>
      <x:c r="L12" s="87" t="str">
        <x:f>IF(OR(H12="",K12=""),"",H12-K12)</x:f>
      </x:c>
      <x:c r="M12" s="78"/>
      <x:c r="N12" s="78"/>
    </x:row>
    <x:row r="13">
      <x:c r="A13" s="78" t="str">
        <x:v>POS-0008</x:v>
      </x:c>
      <x:c r="B13" s="78"/>
      <x:c r="C13" s="81"/>
      <x:c r="D13" s="78"/>
      <x:c r="E13" s="78"/>
      <x:c r="F13" s="78"/>
      <x:c r="G13" s="78"/>
      <x:c r="H13" s="84"/>
      <x:c r="I13" s="78"/>
      <x:c r="J13" s="78"/>
      <x:c r="K13" s="87"/>
      <x:c r="L13" s="87" t="str">
        <x:f>IF(OR(H13="",K13=""),"",H13-K13)</x:f>
      </x:c>
      <x:c r="M13" s="78"/>
      <x:c r="N13" s="78"/>
    </x:row>
    <x:row r="14">
      <x:c r="A14" s="78" t="str">
        <x:v>POS-0009</x:v>
      </x:c>
      <x:c r="B14" s="78"/>
      <x:c r="C14" s="81"/>
      <x:c r="D14" s="78"/>
      <x:c r="E14" s="78"/>
      <x:c r="F14" s="78"/>
      <x:c r="G14" s="78"/>
      <x:c r="H14" s="84"/>
      <x:c r="I14" s="78"/>
      <x:c r="J14" s="78"/>
      <x:c r="K14" s="87"/>
      <x:c r="L14" s="87" t="str">
        <x:f>IF(OR(H14="",K14=""),"",H14-K14)</x:f>
      </x:c>
      <x:c r="M14" s="78"/>
      <x:c r="N14" s="78"/>
    </x:row>
    <x:row r="15">
      <x:c r="A15" s="78" t="str">
        <x:v>POS-0010</x:v>
      </x:c>
      <x:c r="B15" s="78"/>
      <x:c r="C15" s="81"/>
      <x:c r="D15" s="78"/>
      <x:c r="E15" s="78"/>
      <x:c r="F15" s="78"/>
      <x:c r="G15" s="78"/>
      <x:c r="H15" s="84"/>
      <x:c r="I15" s="78"/>
      <x:c r="J15" s="78"/>
      <x:c r="K15" s="87"/>
      <x:c r="L15" s="87" t="str">
        <x:f>IF(OR(H15="",K15=""),"",H15-K15)</x:f>
      </x:c>
      <x:c r="M15" s="78"/>
      <x:c r="N15" s="78"/>
    </x:row>
    <x:row r="16">
      <x:c r="A16" s="78" t="str">
        <x:v>POS-0011</x:v>
      </x:c>
      <x:c r="B16" s="78"/>
      <x:c r="C16" s="81"/>
      <x:c r="D16" s="78"/>
      <x:c r="E16" s="78"/>
      <x:c r="F16" s="78"/>
      <x:c r="G16" s="78"/>
      <x:c r="H16" s="84"/>
      <x:c r="I16" s="78"/>
      <x:c r="J16" s="78"/>
      <x:c r="K16" s="87"/>
      <x:c r="L16" s="87" t="str">
        <x:f>IF(OR(H16="",K16=""),"",H16-K16)</x:f>
      </x:c>
      <x:c r="M16" s="78"/>
      <x:c r="N16" s="78"/>
    </x:row>
    <x:row r="17">
      <x:c r="A17" s="78" t="str">
        <x:v>POS-0012</x:v>
      </x:c>
      <x:c r="B17" s="78"/>
      <x:c r="C17" s="81"/>
      <x:c r="D17" s="78"/>
      <x:c r="E17" s="78"/>
      <x:c r="F17" s="78"/>
      <x:c r="G17" s="78"/>
      <x:c r="H17" s="84"/>
      <x:c r="I17" s="78"/>
      <x:c r="J17" s="78"/>
      <x:c r="K17" s="87"/>
      <x:c r="L17" s="87" t="str">
        <x:f>IF(OR(H17="",K17=""),"",H17-K17)</x:f>
      </x:c>
      <x:c r="M17" s="78"/>
      <x:c r="N17" s="78"/>
    </x:row>
    <x:row r="18">
      <x:c r="A18" s="78" t="str">
        <x:v>POS-0013</x:v>
      </x:c>
      <x:c r="B18" s="78"/>
      <x:c r="C18" s="81"/>
      <x:c r="D18" s="78"/>
      <x:c r="E18" s="78"/>
      <x:c r="F18" s="78"/>
      <x:c r="G18" s="78"/>
      <x:c r="H18" s="84"/>
      <x:c r="I18" s="78"/>
      <x:c r="J18" s="78"/>
      <x:c r="K18" s="87"/>
      <x:c r="L18" s="87" t="str">
        <x:f>IF(OR(H18="",K18=""),"",H18-K18)</x:f>
      </x:c>
      <x:c r="M18" s="78"/>
      <x:c r="N18" s="78"/>
    </x:row>
    <x:row r="19">
      <x:c r="A19" s="78" t="str">
        <x:v>POS-0014</x:v>
      </x:c>
      <x:c r="B19" s="78"/>
      <x:c r="C19" s="81"/>
      <x:c r="D19" s="78"/>
      <x:c r="E19" s="78"/>
      <x:c r="F19" s="78"/>
      <x:c r="G19" s="78"/>
      <x:c r="H19" s="84"/>
      <x:c r="I19" s="78"/>
      <x:c r="J19" s="78"/>
      <x:c r="K19" s="87"/>
      <x:c r="L19" s="87" t="str">
        <x:f>IF(OR(H19="",K19=""),"",H19-K19)</x:f>
      </x:c>
      <x:c r="M19" s="78"/>
      <x:c r="N19" s="78"/>
    </x:row>
    <x:row r="20">
      <x:c r="A20" s="78" t="str">
        <x:v>POS-0015</x:v>
      </x:c>
      <x:c r="B20" s="78"/>
      <x:c r="C20" s="81"/>
      <x:c r="D20" s="78"/>
      <x:c r="E20" s="78"/>
      <x:c r="F20" s="78"/>
      <x:c r="G20" s="78"/>
      <x:c r="H20" s="84"/>
      <x:c r="I20" s="78"/>
      <x:c r="J20" s="78"/>
      <x:c r="K20" s="87"/>
      <x:c r="L20" s="87" t="str">
        <x:f>IF(OR(H20="",K20=""),"",H20-K20)</x:f>
      </x:c>
      <x:c r="M20" s="78"/>
      <x:c r="N20" s="78"/>
    </x:row>
    <x:row r="21">
      <x:c r="A21" s="78" t="str">
        <x:v>POS-0016</x:v>
      </x:c>
      <x:c r="B21" s="78"/>
      <x:c r="C21" s="81"/>
      <x:c r="D21" s="78"/>
      <x:c r="E21" s="78"/>
      <x:c r="F21" s="78"/>
      <x:c r="G21" s="78"/>
      <x:c r="H21" s="84"/>
      <x:c r="I21" s="78"/>
      <x:c r="J21" s="78"/>
      <x:c r="K21" s="87"/>
      <x:c r="L21" s="87" t="str">
        <x:f>IF(OR(H21="",K21=""),"",H21-K21)</x:f>
      </x:c>
      <x:c r="M21" s="78"/>
      <x:c r="N21" s="78"/>
    </x:row>
    <x:row r="22">
      <x:c r="A22" s="78" t="str">
        <x:v>POS-0017</x:v>
      </x:c>
      <x:c r="B22" s="78"/>
      <x:c r="C22" s="81"/>
      <x:c r="D22" s="78"/>
      <x:c r="E22" s="78"/>
      <x:c r="F22" s="78"/>
      <x:c r="G22" s="78"/>
      <x:c r="H22" s="84"/>
      <x:c r="I22" s="78"/>
      <x:c r="J22" s="78"/>
      <x:c r="K22" s="87"/>
      <x:c r="L22" s="87" t="str">
        <x:f>IF(OR(H22="",K22=""),"",H22-K22)</x:f>
      </x:c>
      <x:c r="M22" s="78"/>
      <x:c r="N22" s="78"/>
    </x:row>
    <x:row r="23">
      <x:c r="A23" s="78" t="str">
        <x:v>POS-0018</x:v>
      </x:c>
      <x:c r="B23" s="78"/>
      <x:c r="C23" s="81"/>
      <x:c r="D23" s="78"/>
      <x:c r="E23" s="78"/>
      <x:c r="F23" s="78"/>
      <x:c r="G23" s="78"/>
      <x:c r="H23" s="84"/>
      <x:c r="I23" s="78"/>
      <x:c r="J23" s="78"/>
      <x:c r="K23" s="87"/>
      <x:c r="L23" s="87" t="str">
        <x:f>IF(OR(H23="",K23=""),"",H23-K23)</x:f>
      </x:c>
      <x:c r="M23" s="78"/>
      <x:c r="N23" s="78"/>
    </x:row>
    <x:row r="24">
      <x:c r="A24" s="78" t="str">
        <x:v>POS-0019</x:v>
      </x:c>
      <x:c r="B24" s="78"/>
      <x:c r="C24" s="81"/>
      <x:c r="D24" s="78"/>
      <x:c r="E24" s="78"/>
      <x:c r="F24" s="78"/>
      <x:c r="G24" s="78"/>
      <x:c r="H24" s="84"/>
      <x:c r="I24" s="78"/>
      <x:c r="J24" s="78"/>
      <x:c r="K24" s="87"/>
      <x:c r="L24" s="87" t="str">
        <x:f>IF(OR(H24="",K24=""),"",H24-K24)</x:f>
      </x:c>
      <x:c r="M24" s="78"/>
      <x:c r="N24" s="78"/>
    </x:row>
    <x:row r="25">
      <x:c r="A25" s="78" t="str">
        <x:v>POS-0020</x:v>
      </x:c>
      <x:c r="B25" s="78"/>
      <x:c r="C25" s="81"/>
      <x:c r="D25" s="78"/>
      <x:c r="E25" s="78"/>
      <x:c r="F25" s="78"/>
      <x:c r="G25" s="78"/>
      <x:c r="H25" s="84"/>
      <x:c r="I25" s="78"/>
      <x:c r="J25" s="78"/>
      <x:c r="K25" s="87"/>
      <x:c r="L25" s="87" t="str">
        <x:f>IF(OR(H25="",K25=""),"",H25-K25)</x:f>
      </x:c>
      <x:c r="M25" s="78"/>
      <x:c r="N25" s="78"/>
    </x:row>
    <x:row r="26">
      <x:c r="A26" s="78" t="str">
        <x:v>POS-0021</x:v>
      </x:c>
      <x:c r="B26" s="78"/>
      <x:c r="C26" s="81"/>
      <x:c r="D26" s="78"/>
      <x:c r="E26" s="78"/>
      <x:c r="F26" s="78"/>
      <x:c r="G26" s="78"/>
      <x:c r="H26" s="84"/>
      <x:c r="I26" s="78"/>
      <x:c r="J26" s="78"/>
      <x:c r="K26" s="87"/>
      <x:c r="L26" s="87" t="str">
        <x:f>IF(OR(H26="",K26=""),"",H26-K26)</x:f>
      </x:c>
      <x:c r="M26" s="78"/>
      <x:c r="N26" s="78"/>
    </x:row>
    <x:row r="27">
      <x:c r="A27" s="78" t="str">
        <x:v>POS-0022</x:v>
      </x:c>
      <x:c r="B27" s="78"/>
      <x:c r="C27" s="81"/>
      <x:c r="D27" s="78"/>
      <x:c r="E27" s="78"/>
      <x:c r="F27" s="78"/>
      <x:c r="G27" s="78"/>
      <x:c r="H27" s="84"/>
      <x:c r="I27" s="78"/>
      <x:c r="J27" s="78"/>
      <x:c r="K27" s="87"/>
      <x:c r="L27" s="87" t="str">
        <x:f>IF(OR(H27="",K27=""),"",H27-K27)</x:f>
      </x:c>
      <x:c r="M27" s="78"/>
      <x:c r="N27" s="78"/>
    </x:row>
    <x:row r="28">
      <x:c r="A28" s="78" t="str">
        <x:v>POS-0023</x:v>
      </x:c>
      <x:c r="B28" s="78"/>
      <x:c r="C28" s="81"/>
      <x:c r="D28" s="78"/>
      <x:c r="E28" s="78"/>
      <x:c r="F28" s="78"/>
      <x:c r="G28" s="78"/>
      <x:c r="H28" s="84"/>
      <x:c r="I28" s="78"/>
      <x:c r="J28" s="78"/>
      <x:c r="K28" s="87"/>
      <x:c r="L28" s="87" t="str">
        <x:f>IF(OR(H28="",K28=""),"",H28-K28)</x:f>
      </x:c>
      <x:c r="M28" s="78"/>
      <x:c r="N28" s="78"/>
    </x:row>
    <x:row r="29">
      <x:c r="A29" s="78" t="str">
        <x:v>POS-0024</x:v>
      </x:c>
      <x:c r="B29" s="78"/>
      <x:c r="C29" s="81"/>
      <x:c r="D29" s="78"/>
      <x:c r="E29" s="78"/>
      <x:c r="F29" s="78"/>
      <x:c r="G29" s="78"/>
      <x:c r="H29" s="84"/>
      <x:c r="I29" s="78"/>
      <x:c r="J29" s="78"/>
      <x:c r="K29" s="87"/>
      <x:c r="L29" s="87" t="str">
        <x:f>IF(OR(H29="",K29=""),"",H29-K29)</x:f>
      </x:c>
      <x:c r="M29" s="78"/>
      <x:c r="N29" s="78"/>
    </x:row>
    <x:row r="30">
      <x:c r="A30" s="78" t="str">
        <x:v>POS-0025</x:v>
      </x:c>
      <x:c r="B30" s="78"/>
      <x:c r="C30" s="81"/>
      <x:c r="D30" s="78"/>
      <x:c r="E30" s="78"/>
      <x:c r="F30" s="78"/>
      <x:c r="G30" s="78"/>
      <x:c r="H30" s="84"/>
      <x:c r="I30" s="78"/>
      <x:c r="J30" s="78"/>
      <x:c r="K30" s="87"/>
      <x:c r="L30" s="87" t="str">
        <x:f>IF(OR(H30="",K30=""),"",H30-K30)</x:f>
      </x:c>
      <x:c r="M30" s="78"/>
      <x:c r="N30" s="78"/>
    </x:row>
    <x:row r="31">
      <x:c r="A31" s="78" t="str">
        <x:v>POS-0026</x:v>
      </x:c>
      <x:c r="B31" s="78"/>
      <x:c r="C31" s="81"/>
      <x:c r="D31" s="78"/>
      <x:c r="E31" s="78"/>
      <x:c r="F31" s="78"/>
      <x:c r="G31" s="78"/>
      <x:c r="H31" s="84"/>
      <x:c r="I31" s="78"/>
      <x:c r="J31" s="78"/>
      <x:c r="K31" s="87"/>
      <x:c r="L31" s="87" t="str">
        <x:f>IF(OR(H31="",K31=""),"",H31-K31)</x:f>
      </x:c>
      <x:c r="M31" s="78"/>
      <x:c r="N31" s="78"/>
    </x:row>
    <x:row r="32">
      <x:c r="A32" s="78" t="str">
        <x:v>POS-0027</x:v>
      </x:c>
      <x:c r="B32" s="78"/>
      <x:c r="C32" s="81"/>
      <x:c r="D32" s="78"/>
      <x:c r="E32" s="78"/>
      <x:c r="F32" s="78"/>
      <x:c r="G32" s="78"/>
      <x:c r="H32" s="84"/>
      <x:c r="I32" s="78"/>
      <x:c r="J32" s="78"/>
      <x:c r="K32" s="87"/>
      <x:c r="L32" s="87" t="str">
        <x:f>IF(OR(H32="",K32=""),"",H32-K32)</x:f>
      </x:c>
      <x:c r="M32" s="78"/>
      <x:c r="N32" s="78"/>
    </x:row>
    <x:row r="33">
      <x:c r="A33" s="78" t="str">
        <x:v>POS-0028</x:v>
      </x:c>
      <x:c r="B33" s="78"/>
      <x:c r="C33" s="81"/>
      <x:c r="D33" s="78"/>
      <x:c r="E33" s="78"/>
      <x:c r="F33" s="78"/>
      <x:c r="G33" s="78"/>
      <x:c r="H33" s="84"/>
      <x:c r="I33" s="78"/>
      <x:c r="J33" s="78"/>
      <x:c r="K33" s="87"/>
      <x:c r="L33" s="87" t="str">
        <x:f>IF(OR(H33="",K33=""),"",H33-K33)</x:f>
      </x:c>
      <x:c r="M33" s="78"/>
      <x:c r="N33" s="78"/>
    </x:row>
    <x:row r="34">
      <x:c r="A34" s="78" t="str">
        <x:v>POS-0029</x:v>
      </x:c>
      <x:c r="B34" s="78"/>
      <x:c r="C34" s="81"/>
      <x:c r="D34" s="78"/>
      <x:c r="E34" s="78"/>
      <x:c r="F34" s="78"/>
      <x:c r="G34" s="78"/>
      <x:c r="H34" s="84"/>
      <x:c r="I34" s="78"/>
      <x:c r="J34" s="78"/>
      <x:c r="K34" s="87"/>
      <x:c r="L34" s="87" t="str">
        <x:f>IF(OR(H34="",K34=""),"",H34-K34)</x:f>
      </x:c>
      <x:c r="M34" s="78"/>
      <x:c r="N34" s="78"/>
    </x:row>
    <x:row r="35">
      <x:c r="A35" s="78" t="str">
        <x:v>POS-0030</x:v>
      </x:c>
      <x:c r="B35" s="78"/>
      <x:c r="C35" s="81"/>
      <x:c r="D35" s="78"/>
      <x:c r="E35" s="78"/>
      <x:c r="F35" s="78"/>
      <x:c r="G35" s="78"/>
      <x:c r="H35" s="84"/>
      <x:c r="I35" s="78"/>
      <x:c r="J35" s="78"/>
      <x:c r="K35" s="87"/>
      <x:c r="L35" s="87" t="str">
        <x:f>IF(OR(H35="",K35=""),"",H35-K35)</x:f>
      </x:c>
      <x:c r="M35" s="78"/>
      <x:c r="N35" s="78"/>
    </x:row>
    <x:row r="36">
      <x:c r="A36" s="78" t="str">
        <x:v>POS-0031</x:v>
      </x:c>
      <x:c r="B36" s="78"/>
      <x:c r="C36" s="81"/>
      <x:c r="D36" s="78"/>
      <x:c r="E36" s="78"/>
      <x:c r="F36" s="78"/>
      <x:c r="G36" s="78"/>
      <x:c r="H36" s="84"/>
      <x:c r="I36" s="78"/>
      <x:c r="J36" s="78"/>
      <x:c r="K36" s="87"/>
      <x:c r="L36" s="87" t="str">
        <x:f>IF(OR(H36="",K36=""),"",H36-K36)</x:f>
      </x:c>
      <x:c r="M36" s="78"/>
      <x:c r="N36" s="78"/>
    </x:row>
    <x:row r="37">
      <x:c r="A37" s="78" t="str">
        <x:v>POS-0032</x:v>
      </x:c>
      <x:c r="B37" s="78"/>
      <x:c r="C37" s="81"/>
      <x:c r="D37" s="78"/>
      <x:c r="E37" s="78"/>
      <x:c r="F37" s="78"/>
      <x:c r="G37" s="78"/>
      <x:c r="H37" s="84"/>
      <x:c r="I37" s="78"/>
      <x:c r="J37" s="78"/>
      <x:c r="K37" s="87"/>
      <x:c r="L37" s="87" t="str">
        <x:f>IF(OR(H37="",K37=""),"",H37-K37)</x:f>
      </x:c>
      <x:c r="M37" s="78"/>
      <x:c r="N37" s="78"/>
    </x:row>
    <x:row r="38">
      <x:c r="A38" s="78" t="str">
        <x:v>POS-0033</x:v>
      </x:c>
      <x:c r="B38" s="78"/>
      <x:c r="C38" s="81"/>
      <x:c r="D38" s="78"/>
      <x:c r="E38" s="78"/>
      <x:c r="F38" s="78"/>
      <x:c r="G38" s="78"/>
      <x:c r="H38" s="84"/>
      <x:c r="I38" s="78"/>
      <x:c r="J38" s="78"/>
      <x:c r="K38" s="87"/>
      <x:c r="L38" s="87" t="str">
        <x:f>IF(OR(H38="",K38=""),"",H38-K38)</x:f>
      </x:c>
      <x:c r="M38" s="78"/>
      <x:c r="N38" s="78"/>
    </x:row>
    <x:row r="39">
      <x:c r="A39" s="78" t="str">
        <x:v>POS-0034</x:v>
      </x:c>
      <x:c r="B39" s="78"/>
      <x:c r="C39" s="81"/>
      <x:c r="D39" s="78"/>
      <x:c r="E39" s="78"/>
      <x:c r="F39" s="78"/>
      <x:c r="G39" s="78"/>
      <x:c r="H39" s="84"/>
      <x:c r="I39" s="78"/>
      <x:c r="J39" s="78"/>
      <x:c r="K39" s="87"/>
      <x:c r="L39" s="87" t="str">
        <x:f>IF(OR(H39="",K39=""),"",H39-K39)</x:f>
      </x:c>
      <x:c r="M39" s="78"/>
      <x:c r="N39" s="78"/>
    </x:row>
    <x:row r="40">
      <x:c r="A40" s="78" t="str">
        <x:v>POS-0035</x:v>
      </x:c>
      <x:c r="B40" s="78"/>
      <x:c r="C40" s="81"/>
      <x:c r="D40" s="78"/>
      <x:c r="E40" s="78"/>
      <x:c r="F40" s="78"/>
      <x:c r="G40" s="78"/>
      <x:c r="H40" s="84"/>
      <x:c r="I40" s="78"/>
      <x:c r="J40" s="78"/>
      <x:c r="K40" s="87"/>
      <x:c r="L40" s="87" t="str">
        <x:f>IF(OR(H40="",K40=""),"",H40-K40)</x:f>
      </x:c>
      <x:c r="M40" s="78"/>
      <x:c r="N40" s="78"/>
    </x:row>
    <x:row r="41">
      <x:c r="A41" s="78" t="str">
        <x:v>POS-0036</x:v>
      </x:c>
      <x:c r="B41" s="78"/>
      <x:c r="C41" s="81"/>
      <x:c r="D41" s="78"/>
      <x:c r="E41" s="78"/>
      <x:c r="F41" s="78"/>
      <x:c r="G41" s="78"/>
      <x:c r="H41" s="84"/>
      <x:c r="I41" s="78"/>
      <x:c r="J41" s="78"/>
      <x:c r="K41" s="87"/>
      <x:c r="L41" s="87" t="str">
        <x:f>IF(OR(H41="",K41=""),"",H41-K41)</x:f>
      </x:c>
      <x:c r="M41" s="78"/>
      <x:c r="N41" s="78"/>
    </x:row>
    <x:row r="42">
      <x:c r="A42" s="78" t="str">
        <x:v>POS-0037</x:v>
      </x:c>
      <x:c r="B42" s="78"/>
      <x:c r="C42" s="81"/>
      <x:c r="D42" s="78"/>
      <x:c r="E42" s="78"/>
      <x:c r="F42" s="78"/>
      <x:c r="G42" s="78"/>
      <x:c r="H42" s="84"/>
      <x:c r="I42" s="78"/>
      <x:c r="J42" s="78"/>
      <x:c r="K42" s="87"/>
      <x:c r="L42" s="87" t="str">
        <x:f>IF(OR(H42="",K42=""),"",H42-K42)</x:f>
      </x:c>
      <x:c r="M42" s="78"/>
      <x:c r="N42" s="78"/>
    </x:row>
    <x:row r="43">
      <x:c r="A43" s="78" t="str">
        <x:v>POS-0038</x:v>
      </x:c>
      <x:c r="B43" s="78"/>
      <x:c r="C43" s="81"/>
      <x:c r="D43" s="78"/>
      <x:c r="E43" s="78"/>
      <x:c r="F43" s="78"/>
      <x:c r="G43" s="78"/>
      <x:c r="H43" s="84"/>
      <x:c r="I43" s="78"/>
      <x:c r="J43" s="78"/>
      <x:c r="K43" s="87"/>
      <x:c r="L43" s="87" t="str">
        <x:f>IF(OR(H43="",K43=""),"",H43-K43)</x:f>
      </x:c>
      <x:c r="M43" s="78"/>
      <x:c r="N43" s="78"/>
    </x:row>
    <x:row r="44">
      <x:c r="A44" s="78" t="str">
        <x:v>POS-0039</x:v>
      </x:c>
      <x:c r="B44" s="78"/>
      <x:c r="C44" s="81"/>
      <x:c r="D44" s="78"/>
      <x:c r="E44" s="78"/>
      <x:c r="F44" s="78"/>
      <x:c r="G44" s="78"/>
      <x:c r="H44" s="84"/>
      <x:c r="I44" s="78"/>
      <x:c r="J44" s="78"/>
      <x:c r="K44" s="87"/>
      <x:c r="L44" s="87" t="str">
        <x:f>IF(OR(H44="",K44=""),"",H44-K44)</x:f>
      </x:c>
      <x:c r="M44" s="78"/>
      <x:c r="N44" s="78"/>
    </x:row>
    <x:row r="45">
      <x:c r="A45" s="78" t="str">
        <x:v>POS-0040</x:v>
      </x:c>
      <x:c r="B45" s="78"/>
      <x:c r="C45" s="81"/>
      <x:c r="D45" s="78"/>
      <x:c r="E45" s="78"/>
      <x:c r="F45" s="78"/>
      <x:c r="G45" s="78"/>
      <x:c r="H45" s="84"/>
      <x:c r="I45" s="78"/>
      <x:c r="J45" s="78"/>
      <x:c r="K45" s="87"/>
      <x:c r="L45" s="87" t="str">
        <x:f>IF(OR(H45="",K45=""),"",H45-K45)</x:f>
      </x:c>
      <x:c r="M45" s="78"/>
      <x:c r="N45" s="78"/>
    </x:row>
    <x:row r="46">
      <x:c r="A46" s="78" t="str">
        <x:v>POS-0041</x:v>
      </x:c>
      <x:c r="B46" s="78"/>
      <x:c r="C46" s="81"/>
      <x:c r="D46" s="78"/>
      <x:c r="E46" s="78"/>
      <x:c r="F46" s="78"/>
      <x:c r="G46" s="78"/>
      <x:c r="H46" s="84"/>
      <x:c r="I46" s="78"/>
      <x:c r="J46" s="78"/>
      <x:c r="K46" s="87"/>
      <x:c r="L46" s="87" t="str">
        <x:f>IF(OR(H46="",K46=""),"",H46-K46)</x:f>
      </x:c>
      <x:c r="M46" s="78"/>
      <x:c r="N46" s="78"/>
    </x:row>
    <x:row r="47">
      <x:c r="A47" s="78" t="str">
        <x:v>POS-0042</x:v>
      </x:c>
      <x:c r="B47" s="78"/>
      <x:c r="C47" s="81"/>
      <x:c r="D47" s="78"/>
      <x:c r="E47" s="78"/>
      <x:c r="F47" s="78"/>
      <x:c r="G47" s="78"/>
      <x:c r="H47" s="84"/>
      <x:c r="I47" s="78"/>
      <x:c r="J47" s="78"/>
      <x:c r="K47" s="87"/>
      <x:c r="L47" s="87" t="str">
        <x:f>IF(OR(H47="",K47=""),"",H47-K47)</x:f>
      </x:c>
      <x:c r="M47" s="78"/>
      <x:c r="N47" s="78"/>
    </x:row>
    <x:row r="48">
      <x:c r="A48" s="78" t="str">
        <x:v>POS-0043</x:v>
      </x:c>
      <x:c r="B48" s="78"/>
      <x:c r="C48" s="81"/>
      <x:c r="D48" s="78"/>
      <x:c r="E48" s="78"/>
      <x:c r="F48" s="78"/>
      <x:c r="G48" s="78"/>
      <x:c r="H48" s="84"/>
      <x:c r="I48" s="78"/>
      <x:c r="J48" s="78"/>
      <x:c r="K48" s="87"/>
      <x:c r="L48" s="87" t="str">
        <x:f>IF(OR(H48="",K48=""),"",H48-K48)</x:f>
      </x:c>
      <x:c r="M48" s="78"/>
      <x:c r="N48" s="78"/>
    </x:row>
    <x:row r="49">
      <x:c r="A49" s="78" t="str">
        <x:v>POS-0044</x:v>
      </x:c>
      <x:c r="B49" s="78"/>
      <x:c r="C49" s="81"/>
      <x:c r="D49" s="78"/>
      <x:c r="E49" s="78"/>
      <x:c r="F49" s="78"/>
      <x:c r="G49" s="78"/>
      <x:c r="H49" s="84"/>
      <x:c r="I49" s="78"/>
      <x:c r="J49" s="78"/>
      <x:c r="K49" s="87"/>
      <x:c r="L49" s="87" t="str">
        <x:f>IF(OR(H49="",K49=""),"",H49-K49)</x:f>
      </x:c>
      <x:c r="M49" s="78"/>
      <x:c r="N49" s="78"/>
    </x:row>
    <x:row r="50">
      <x:c r="A50" s="78" t="str">
        <x:v>POS-0045</x:v>
      </x:c>
      <x:c r="B50" s="78"/>
      <x:c r="C50" s="81"/>
      <x:c r="D50" s="78"/>
      <x:c r="E50" s="78"/>
      <x:c r="F50" s="78"/>
      <x:c r="G50" s="78"/>
      <x:c r="H50" s="84"/>
      <x:c r="I50" s="78"/>
      <x:c r="J50" s="78"/>
      <x:c r="K50" s="87"/>
      <x:c r="L50" s="87" t="str">
        <x:f>IF(OR(H50="",K50=""),"",H50-K50)</x:f>
      </x:c>
      <x:c r="M50" s="78"/>
      <x:c r="N50" s="78"/>
    </x:row>
    <x:row r="51">
      <x:c r="A51" s="78" t="str">
        <x:v>POS-0046</x:v>
      </x:c>
      <x:c r="B51" s="78"/>
      <x:c r="C51" s="81"/>
      <x:c r="D51" s="78"/>
      <x:c r="E51" s="78"/>
      <x:c r="F51" s="78"/>
      <x:c r="G51" s="78"/>
      <x:c r="H51" s="84"/>
      <x:c r="I51" s="78"/>
      <x:c r="J51" s="78"/>
      <x:c r="K51" s="87"/>
      <x:c r="L51" s="87" t="str">
        <x:f>IF(OR(H51="",K51=""),"",H51-K51)</x:f>
      </x:c>
      <x:c r="M51" s="78"/>
      <x:c r="N51" s="78"/>
    </x:row>
    <x:row r="52">
      <x:c r="A52" s="78" t="str">
        <x:v>POS-0047</x:v>
      </x:c>
      <x:c r="B52" s="78"/>
      <x:c r="C52" s="81"/>
      <x:c r="D52" s="78"/>
      <x:c r="E52" s="78"/>
      <x:c r="F52" s="78"/>
      <x:c r="G52" s="78"/>
      <x:c r="H52" s="84"/>
      <x:c r="I52" s="78"/>
      <x:c r="J52" s="78"/>
      <x:c r="K52" s="87"/>
      <x:c r="L52" s="87" t="str">
        <x:f>IF(OR(H52="",K52=""),"",H52-K52)</x:f>
      </x:c>
      <x:c r="M52" s="78"/>
      <x:c r="N52" s="78"/>
    </x:row>
    <x:row r="53">
      <x:c r="A53" s="78" t="str">
        <x:v>POS-0048</x:v>
      </x:c>
      <x:c r="B53" s="78"/>
      <x:c r="C53" s="81"/>
      <x:c r="D53" s="78"/>
      <x:c r="E53" s="78"/>
      <x:c r="F53" s="78"/>
      <x:c r="G53" s="78"/>
      <x:c r="H53" s="84"/>
      <x:c r="I53" s="78"/>
      <x:c r="J53" s="78"/>
      <x:c r="K53" s="87"/>
      <x:c r="L53" s="87" t="str">
        <x:f>IF(OR(H53="",K53=""),"",H53-K53)</x:f>
      </x:c>
      <x:c r="M53" s="78"/>
      <x:c r="N53" s="78"/>
    </x:row>
    <x:row r="54">
      <x:c r="A54" s="78" t="str">
        <x:v>POS-0049</x:v>
      </x:c>
      <x:c r="B54" s="78"/>
      <x:c r="C54" s="81"/>
      <x:c r="D54" s="78"/>
      <x:c r="E54" s="78"/>
      <x:c r="F54" s="78"/>
      <x:c r="G54" s="78"/>
      <x:c r="H54" s="84"/>
      <x:c r="I54" s="78"/>
      <x:c r="J54" s="78"/>
      <x:c r="K54" s="87"/>
      <x:c r="L54" s="87" t="str">
        <x:f>IF(OR(H54="",K54=""),"",H54-K54)</x:f>
      </x:c>
      <x:c r="M54" s="78"/>
      <x:c r="N54" s="78"/>
    </x:row>
    <x:row r="55">
      <x:c r="A55" s="79" t="str">
        <x:v>POS-0050</x:v>
      </x:c>
      <x:c r="B55" s="79"/>
      <x:c r="C55" s="82"/>
      <x:c r="D55" s="79"/>
      <x:c r="E55" s="79"/>
      <x:c r="F55" s="79"/>
      <x:c r="G55" s="79"/>
      <x:c r="H55" s="85"/>
      <x:c r="I55" s="79"/>
      <x:c r="J55" s="79"/>
      <x:c r="K55" s="88"/>
      <x:c r="L55" s="88" t="str">
        <x:f>IF(OR(H55="",K55=""),"",H55-K55)</x:f>
      </x:c>
      <x:c r="M55" s="79"/>
      <x:c r="N55" s="79"/>
    </x:row>
  </x:sheetData>
  <x:mergeCells>
    <x:mergeCell ref="A1:N1"/>
    <x:mergeCell ref="A2:N3"/>
  </x:mergeCells>
  <x:conditionalFormatting sqref="M6:M55">
    <x:cfRule type="containsText" dxfId="0" priority="1" operator="containsText" text="bereit"/>
    <x:cfRule type="containsText" dxfId="1" priority="2" operator="containsText" text="prüfen"/>
    <x:cfRule type="containsText" dxfId="2" priority="3" operator="containsText" text="nachfordern"/>
    <x:cfRule type="containsText" dxfId="3" priority="4" operator="containsText" text="nicht verarbeitet"/>
  </x:conditionalFormatting>
  <x:dataValidations count="1">
    <x:dataValidation type="list" sqref="M6:M55">
      <x:formula1>"bereit,prüfen,nachfordern,nicht verarbeitet"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c0c968412a48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34" hidden="0" customWidth="1"/>
    <x:col min="4" max="4" width="22" hidden="0" customWidth="1"/>
    <x:col min="5" max="5" width="20" hidden="0" customWidth="1"/>
    <x:col min="6" max="6" width="12" hidden="0" customWidth="1"/>
    <x:col min="7" max="7" width="17" hidden="0" customWidth="1"/>
    <x:col min="8" max="8" width="34" hidden="0" customWidth="1"/>
    <x:col min="9" max="9" width="20" hidden="0" customWidth="1"/>
  </x:cols>
  <x:sheetData>
    <x:row r="1" ht="30" customHeight="1">
      <x:c r="A1" s="3" t="str">
        <x:v>Berechnungen und Aufteilungen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18" t="str">
        <x:v>Einfache Aufteilungen über Ausgangsbetrag und Anteil rechnen. Komplexe Berechnungen in mehrere prüfbare Zeilen zerlegen und Quellen-IDs angeben.</x:v>
      </x:c>
      <x:c r="B2" s="19"/>
      <x:c r="C2" s="19"/>
      <x:c r="D2" s="19"/>
      <x:c r="E2" s="19"/>
      <x:c r="F2" s="19"/>
      <x:c r="G2" s="19"/>
      <x:c r="H2" s="19"/>
      <x:c r="I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3"/>
    </x:row>
    <x:row r="5" ht="32" customHeight="1">
      <x:c r="A5" s="69" t="str">
        <x:v>Berechnungs-ID</x:v>
      </x:c>
      <x:c r="B5" s="69" t="str">
        <x:v>Positions-ID</x:v>
      </x:c>
      <x:c r="C5" s="69" t="str">
        <x:v>Beschreibung</x:v>
      </x:c>
      <x:c r="D5" s="69" t="str">
        <x:v>Quellen-IDs</x:v>
      </x:c>
      <x:c r="E5" s="69" t="str">
        <x:v>Ausgangsbetrag EUR</x:v>
      </x:c>
      <x:c r="F5" s="69" t="str">
        <x:v>Anteil</x:v>
      </x:c>
      <x:c r="G5" s="69" t="str">
        <x:v>Ergebnis EUR</x:v>
      </x:c>
      <x:c r="H5" s="69" t="str">
        <x:v>Methode/Annahme</x:v>
      </x:c>
      <x:c r="I5" s="69" t="str">
        <x:v>Status</x:v>
      </x:c>
    </x:row>
    <x:row r="6">
      <x:c r="A6" s="77" t="str">
        <x:v>BER-0001</x:v>
      </x:c>
      <x:c r="B6" s="77"/>
      <x:c r="C6" s="77"/>
      <x:c r="D6" s="77"/>
      <x:c r="E6" s="83"/>
      <x:c r="F6" s="89"/>
      <x:c r="G6" s="83" t="str">
        <x:f>IF(OR(E6="",F6=""),"",E6*F6)</x:f>
      </x:c>
      <x:c r="H6" s="77"/>
      <x:c r="I6" s="77"/>
    </x:row>
    <x:row r="7">
      <x:c r="A7" s="78" t="str">
        <x:v>BER-0002</x:v>
      </x:c>
      <x:c r="B7" s="78"/>
      <x:c r="C7" s="78"/>
      <x:c r="D7" s="78"/>
      <x:c r="E7" s="84"/>
      <x:c r="F7" s="90"/>
      <x:c r="G7" s="84" t="str">
        <x:f>IF(OR(E7="",F7=""),"",E7*F7)</x:f>
      </x:c>
      <x:c r="H7" s="78"/>
      <x:c r="I7" s="78"/>
    </x:row>
    <x:row r="8">
      <x:c r="A8" s="78" t="str">
        <x:v>BER-0003</x:v>
      </x:c>
      <x:c r="B8" s="78"/>
      <x:c r="C8" s="78"/>
      <x:c r="D8" s="78"/>
      <x:c r="E8" s="84"/>
      <x:c r="F8" s="90"/>
      <x:c r="G8" s="84" t="str">
        <x:f>IF(OR(E8="",F8=""),"",E8*F8)</x:f>
      </x:c>
      <x:c r="H8" s="78"/>
      <x:c r="I8" s="78"/>
    </x:row>
    <x:row r="9">
      <x:c r="A9" s="78" t="str">
        <x:v>BER-0004</x:v>
      </x:c>
      <x:c r="B9" s="78"/>
      <x:c r="C9" s="78"/>
      <x:c r="D9" s="78"/>
      <x:c r="E9" s="84"/>
      <x:c r="F9" s="90"/>
      <x:c r="G9" s="84" t="str">
        <x:f>IF(OR(E9="",F9=""),"",E9*F9)</x:f>
      </x:c>
      <x:c r="H9" s="78"/>
      <x:c r="I9" s="78"/>
    </x:row>
    <x:row r="10">
      <x:c r="A10" s="78" t="str">
        <x:v>BER-0005</x:v>
      </x:c>
      <x:c r="B10" s="78"/>
      <x:c r="C10" s="78"/>
      <x:c r="D10" s="78"/>
      <x:c r="E10" s="84"/>
      <x:c r="F10" s="90"/>
      <x:c r="G10" s="84" t="str">
        <x:f>IF(OR(E10="",F10=""),"",E10*F10)</x:f>
      </x:c>
      <x:c r="H10" s="78"/>
      <x:c r="I10" s="78"/>
    </x:row>
    <x:row r="11">
      <x:c r="A11" s="78" t="str">
        <x:v>BER-0006</x:v>
      </x:c>
      <x:c r="B11" s="78"/>
      <x:c r="C11" s="78"/>
      <x:c r="D11" s="78"/>
      <x:c r="E11" s="84"/>
      <x:c r="F11" s="90"/>
      <x:c r="G11" s="84" t="str">
        <x:f>IF(OR(E11="",F11=""),"",E11*F11)</x:f>
      </x:c>
      <x:c r="H11" s="78"/>
      <x:c r="I11" s="78"/>
    </x:row>
    <x:row r="12">
      <x:c r="A12" s="78" t="str">
        <x:v>BER-0007</x:v>
      </x:c>
      <x:c r="B12" s="78"/>
      <x:c r="C12" s="78"/>
      <x:c r="D12" s="78"/>
      <x:c r="E12" s="84"/>
      <x:c r="F12" s="90"/>
      <x:c r="G12" s="84" t="str">
        <x:f>IF(OR(E12="",F12=""),"",E12*F12)</x:f>
      </x:c>
      <x:c r="H12" s="78"/>
      <x:c r="I12" s="78"/>
    </x:row>
    <x:row r="13">
      <x:c r="A13" s="78" t="str">
        <x:v>BER-0008</x:v>
      </x:c>
      <x:c r="B13" s="78"/>
      <x:c r="C13" s="78"/>
      <x:c r="D13" s="78"/>
      <x:c r="E13" s="84"/>
      <x:c r="F13" s="90"/>
      <x:c r="G13" s="84" t="str">
        <x:f>IF(OR(E13="",F13=""),"",E13*F13)</x:f>
      </x:c>
      <x:c r="H13" s="78"/>
      <x:c r="I13" s="78"/>
    </x:row>
    <x:row r="14">
      <x:c r="A14" s="78" t="str">
        <x:v>BER-0009</x:v>
      </x:c>
      <x:c r="B14" s="78"/>
      <x:c r="C14" s="78"/>
      <x:c r="D14" s="78"/>
      <x:c r="E14" s="84"/>
      <x:c r="F14" s="90"/>
      <x:c r="G14" s="84" t="str">
        <x:f>IF(OR(E14="",F14=""),"",E14*F14)</x:f>
      </x:c>
      <x:c r="H14" s="78"/>
      <x:c r="I14" s="78"/>
    </x:row>
    <x:row r="15">
      <x:c r="A15" s="78" t="str">
        <x:v>BER-0010</x:v>
      </x:c>
      <x:c r="B15" s="78"/>
      <x:c r="C15" s="78"/>
      <x:c r="D15" s="78"/>
      <x:c r="E15" s="84"/>
      <x:c r="F15" s="90"/>
      <x:c r="G15" s="84" t="str">
        <x:f>IF(OR(E15="",F15=""),"",E15*F15)</x:f>
      </x:c>
      <x:c r="H15" s="78"/>
      <x:c r="I15" s="78"/>
    </x:row>
    <x:row r="16">
      <x:c r="A16" s="78" t="str">
        <x:v>BER-0011</x:v>
      </x:c>
      <x:c r="B16" s="78"/>
      <x:c r="C16" s="78"/>
      <x:c r="D16" s="78"/>
      <x:c r="E16" s="84"/>
      <x:c r="F16" s="90"/>
      <x:c r="G16" s="84" t="str">
        <x:f>IF(OR(E16="",F16=""),"",E16*F16)</x:f>
      </x:c>
      <x:c r="H16" s="78"/>
      <x:c r="I16" s="78"/>
    </x:row>
    <x:row r="17">
      <x:c r="A17" s="78" t="str">
        <x:v>BER-0012</x:v>
      </x:c>
      <x:c r="B17" s="78"/>
      <x:c r="C17" s="78"/>
      <x:c r="D17" s="78"/>
      <x:c r="E17" s="84"/>
      <x:c r="F17" s="90"/>
      <x:c r="G17" s="84" t="str">
        <x:f>IF(OR(E17="",F17=""),"",E17*F17)</x:f>
      </x:c>
      <x:c r="H17" s="78"/>
      <x:c r="I17" s="78"/>
    </x:row>
    <x:row r="18">
      <x:c r="A18" s="78" t="str">
        <x:v>BER-0013</x:v>
      </x:c>
      <x:c r="B18" s="78"/>
      <x:c r="C18" s="78"/>
      <x:c r="D18" s="78"/>
      <x:c r="E18" s="84"/>
      <x:c r="F18" s="90"/>
      <x:c r="G18" s="84" t="str">
        <x:f>IF(OR(E18="",F18=""),"",E18*F18)</x:f>
      </x:c>
      <x:c r="H18" s="78"/>
      <x:c r="I18" s="78"/>
    </x:row>
    <x:row r="19">
      <x:c r="A19" s="78" t="str">
        <x:v>BER-0014</x:v>
      </x:c>
      <x:c r="B19" s="78"/>
      <x:c r="C19" s="78"/>
      <x:c r="D19" s="78"/>
      <x:c r="E19" s="84"/>
      <x:c r="F19" s="90"/>
      <x:c r="G19" s="84" t="str">
        <x:f>IF(OR(E19="",F19=""),"",E19*F19)</x:f>
      </x:c>
      <x:c r="H19" s="78"/>
      <x:c r="I19" s="78"/>
    </x:row>
    <x:row r="20">
      <x:c r="A20" s="78" t="str">
        <x:v>BER-0015</x:v>
      </x:c>
      <x:c r="B20" s="78"/>
      <x:c r="C20" s="78"/>
      <x:c r="D20" s="78"/>
      <x:c r="E20" s="84"/>
      <x:c r="F20" s="90"/>
      <x:c r="G20" s="84" t="str">
        <x:f>IF(OR(E20="",F20=""),"",E20*F20)</x:f>
      </x:c>
      <x:c r="H20" s="78"/>
      <x:c r="I20" s="78"/>
    </x:row>
    <x:row r="21">
      <x:c r="A21" s="78" t="str">
        <x:v>BER-0016</x:v>
      </x:c>
      <x:c r="B21" s="78"/>
      <x:c r="C21" s="78"/>
      <x:c r="D21" s="78"/>
      <x:c r="E21" s="84"/>
      <x:c r="F21" s="90"/>
      <x:c r="G21" s="84" t="str">
        <x:f>IF(OR(E21="",F21=""),"",E21*F21)</x:f>
      </x:c>
      <x:c r="H21" s="78"/>
      <x:c r="I21" s="78"/>
    </x:row>
    <x:row r="22">
      <x:c r="A22" s="78" t="str">
        <x:v>BER-0017</x:v>
      </x:c>
      <x:c r="B22" s="78"/>
      <x:c r="C22" s="78"/>
      <x:c r="D22" s="78"/>
      <x:c r="E22" s="84"/>
      <x:c r="F22" s="90"/>
      <x:c r="G22" s="84" t="str">
        <x:f>IF(OR(E22="",F22=""),"",E22*F22)</x:f>
      </x:c>
      <x:c r="H22" s="78"/>
      <x:c r="I22" s="78"/>
    </x:row>
    <x:row r="23">
      <x:c r="A23" s="78" t="str">
        <x:v>BER-0018</x:v>
      </x:c>
      <x:c r="B23" s="78"/>
      <x:c r="C23" s="78"/>
      <x:c r="D23" s="78"/>
      <x:c r="E23" s="84"/>
      <x:c r="F23" s="90"/>
      <x:c r="G23" s="84" t="str">
        <x:f>IF(OR(E23="",F23=""),"",E23*F23)</x:f>
      </x:c>
      <x:c r="H23" s="78"/>
      <x:c r="I23" s="78"/>
    </x:row>
    <x:row r="24">
      <x:c r="A24" s="78" t="str">
        <x:v>BER-0019</x:v>
      </x:c>
      <x:c r="B24" s="78"/>
      <x:c r="C24" s="78"/>
      <x:c r="D24" s="78"/>
      <x:c r="E24" s="84"/>
      <x:c r="F24" s="90"/>
      <x:c r="G24" s="84" t="str">
        <x:f>IF(OR(E24="",F24=""),"",E24*F24)</x:f>
      </x:c>
      <x:c r="H24" s="78"/>
      <x:c r="I24" s="78"/>
    </x:row>
    <x:row r="25">
      <x:c r="A25" s="78" t="str">
        <x:v>BER-0020</x:v>
      </x:c>
      <x:c r="B25" s="78"/>
      <x:c r="C25" s="78"/>
      <x:c r="D25" s="78"/>
      <x:c r="E25" s="84"/>
      <x:c r="F25" s="90"/>
      <x:c r="G25" s="84" t="str">
        <x:f>IF(OR(E25="",F25=""),"",E25*F25)</x:f>
      </x:c>
      <x:c r="H25" s="78"/>
      <x:c r="I25" s="78"/>
    </x:row>
    <x:row r="26">
      <x:c r="A26" s="78" t="str">
        <x:v>BER-0021</x:v>
      </x:c>
      <x:c r="B26" s="78"/>
      <x:c r="C26" s="78"/>
      <x:c r="D26" s="78"/>
      <x:c r="E26" s="84"/>
      <x:c r="F26" s="90"/>
      <x:c r="G26" s="84" t="str">
        <x:f>IF(OR(E26="",F26=""),"",E26*F26)</x:f>
      </x:c>
      <x:c r="H26" s="78"/>
      <x:c r="I26" s="78"/>
    </x:row>
    <x:row r="27">
      <x:c r="A27" s="78" t="str">
        <x:v>BER-0022</x:v>
      </x:c>
      <x:c r="B27" s="78"/>
      <x:c r="C27" s="78"/>
      <x:c r="D27" s="78"/>
      <x:c r="E27" s="84"/>
      <x:c r="F27" s="90"/>
      <x:c r="G27" s="84" t="str">
        <x:f>IF(OR(E27="",F27=""),"",E27*F27)</x:f>
      </x:c>
      <x:c r="H27" s="78"/>
      <x:c r="I27" s="78"/>
    </x:row>
    <x:row r="28">
      <x:c r="A28" s="78" t="str">
        <x:v>BER-0023</x:v>
      </x:c>
      <x:c r="B28" s="78"/>
      <x:c r="C28" s="78"/>
      <x:c r="D28" s="78"/>
      <x:c r="E28" s="84"/>
      <x:c r="F28" s="90"/>
      <x:c r="G28" s="84" t="str">
        <x:f>IF(OR(E28="",F28=""),"",E28*F28)</x:f>
      </x:c>
      <x:c r="H28" s="78"/>
      <x:c r="I28" s="78"/>
    </x:row>
    <x:row r="29">
      <x:c r="A29" s="78" t="str">
        <x:v>BER-0024</x:v>
      </x:c>
      <x:c r="B29" s="78"/>
      <x:c r="C29" s="78"/>
      <x:c r="D29" s="78"/>
      <x:c r="E29" s="84"/>
      <x:c r="F29" s="90"/>
      <x:c r="G29" s="84" t="str">
        <x:f>IF(OR(E29="",F29=""),"",E29*F29)</x:f>
      </x:c>
      <x:c r="H29" s="78"/>
      <x:c r="I29" s="78"/>
    </x:row>
    <x:row r="30">
      <x:c r="A30" s="78" t="str">
        <x:v>BER-0025</x:v>
      </x:c>
      <x:c r="B30" s="78"/>
      <x:c r="C30" s="78"/>
      <x:c r="D30" s="78"/>
      <x:c r="E30" s="84"/>
      <x:c r="F30" s="90"/>
      <x:c r="G30" s="84" t="str">
        <x:f>IF(OR(E30="",F30=""),"",E30*F30)</x:f>
      </x:c>
      <x:c r="H30" s="78"/>
      <x:c r="I30" s="78"/>
    </x:row>
    <x:row r="31">
      <x:c r="A31" s="78" t="str">
        <x:v>BER-0026</x:v>
      </x:c>
      <x:c r="B31" s="78"/>
      <x:c r="C31" s="78"/>
      <x:c r="D31" s="78"/>
      <x:c r="E31" s="84"/>
      <x:c r="F31" s="90"/>
      <x:c r="G31" s="84" t="str">
        <x:f>IF(OR(E31="",F31=""),"",E31*F31)</x:f>
      </x:c>
      <x:c r="H31" s="78"/>
      <x:c r="I31" s="78"/>
    </x:row>
    <x:row r="32">
      <x:c r="A32" s="78" t="str">
        <x:v>BER-0027</x:v>
      </x:c>
      <x:c r="B32" s="78"/>
      <x:c r="C32" s="78"/>
      <x:c r="D32" s="78"/>
      <x:c r="E32" s="84"/>
      <x:c r="F32" s="90"/>
      <x:c r="G32" s="84" t="str">
        <x:f>IF(OR(E32="",F32=""),"",E32*F32)</x:f>
      </x:c>
      <x:c r="H32" s="78"/>
      <x:c r="I32" s="78"/>
    </x:row>
    <x:row r="33">
      <x:c r="A33" s="78" t="str">
        <x:v>BER-0028</x:v>
      </x:c>
      <x:c r="B33" s="78"/>
      <x:c r="C33" s="78"/>
      <x:c r="D33" s="78"/>
      <x:c r="E33" s="84"/>
      <x:c r="F33" s="90"/>
      <x:c r="G33" s="84" t="str">
        <x:f>IF(OR(E33="",F33=""),"",E33*F33)</x:f>
      </x:c>
      <x:c r="H33" s="78"/>
      <x:c r="I33" s="78"/>
    </x:row>
    <x:row r="34">
      <x:c r="A34" s="78" t="str">
        <x:v>BER-0029</x:v>
      </x:c>
      <x:c r="B34" s="78"/>
      <x:c r="C34" s="78"/>
      <x:c r="D34" s="78"/>
      <x:c r="E34" s="84"/>
      <x:c r="F34" s="90"/>
      <x:c r="G34" s="84" t="str">
        <x:f>IF(OR(E34="",F34=""),"",E34*F34)</x:f>
      </x:c>
      <x:c r="H34" s="78"/>
      <x:c r="I34" s="78"/>
    </x:row>
    <x:row r="35">
      <x:c r="A35" s="78" t="str">
        <x:v>BER-0030</x:v>
      </x:c>
      <x:c r="B35" s="78"/>
      <x:c r="C35" s="78"/>
      <x:c r="D35" s="78"/>
      <x:c r="E35" s="84"/>
      <x:c r="F35" s="90"/>
      <x:c r="G35" s="84" t="str">
        <x:f>IF(OR(E35="",F35=""),"",E35*F35)</x:f>
      </x:c>
      <x:c r="H35" s="78"/>
      <x:c r="I35" s="78"/>
    </x:row>
    <x:row r="36">
      <x:c r="A36" s="78" t="str">
        <x:v>BER-0031</x:v>
      </x:c>
      <x:c r="B36" s="78"/>
      <x:c r="C36" s="78"/>
      <x:c r="D36" s="78"/>
      <x:c r="E36" s="84"/>
      <x:c r="F36" s="90"/>
      <x:c r="G36" s="84" t="str">
        <x:f>IF(OR(E36="",F36=""),"",E36*F36)</x:f>
      </x:c>
      <x:c r="H36" s="78"/>
      <x:c r="I36" s="78"/>
    </x:row>
    <x:row r="37">
      <x:c r="A37" s="78" t="str">
        <x:v>BER-0032</x:v>
      </x:c>
      <x:c r="B37" s="78"/>
      <x:c r="C37" s="78"/>
      <x:c r="D37" s="78"/>
      <x:c r="E37" s="84"/>
      <x:c r="F37" s="90"/>
      <x:c r="G37" s="84" t="str">
        <x:f>IF(OR(E37="",F37=""),"",E37*F37)</x:f>
      </x:c>
      <x:c r="H37" s="78"/>
      <x:c r="I37" s="78"/>
    </x:row>
    <x:row r="38">
      <x:c r="A38" s="78" t="str">
        <x:v>BER-0033</x:v>
      </x:c>
      <x:c r="B38" s="78"/>
      <x:c r="C38" s="78"/>
      <x:c r="D38" s="78"/>
      <x:c r="E38" s="84"/>
      <x:c r="F38" s="90"/>
      <x:c r="G38" s="84" t="str">
        <x:f>IF(OR(E38="",F38=""),"",E38*F38)</x:f>
      </x:c>
      <x:c r="H38" s="78"/>
      <x:c r="I38" s="78"/>
    </x:row>
    <x:row r="39">
      <x:c r="A39" s="78" t="str">
        <x:v>BER-0034</x:v>
      </x:c>
      <x:c r="B39" s="78"/>
      <x:c r="C39" s="78"/>
      <x:c r="D39" s="78"/>
      <x:c r="E39" s="84"/>
      <x:c r="F39" s="90"/>
      <x:c r="G39" s="84" t="str">
        <x:f>IF(OR(E39="",F39=""),"",E39*F39)</x:f>
      </x:c>
      <x:c r="H39" s="78"/>
      <x:c r="I39" s="78"/>
    </x:row>
    <x:row r="40">
      <x:c r="A40" s="78" t="str">
        <x:v>BER-0035</x:v>
      </x:c>
      <x:c r="B40" s="78"/>
      <x:c r="C40" s="78"/>
      <x:c r="D40" s="78"/>
      <x:c r="E40" s="84"/>
      <x:c r="F40" s="90"/>
      <x:c r="G40" s="84" t="str">
        <x:f>IF(OR(E40="",F40=""),"",E40*F40)</x:f>
      </x:c>
      <x:c r="H40" s="78"/>
      <x:c r="I40" s="78"/>
    </x:row>
    <x:row r="41">
      <x:c r="A41" s="78" t="str">
        <x:v>BER-0036</x:v>
      </x:c>
      <x:c r="B41" s="78"/>
      <x:c r="C41" s="78"/>
      <x:c r="D41" s="78"/>
      <x:c r="E41" s="84"/>
      <x:c r="F41" s="90"/>
      <x:c r="G41" s="84" t="str">
        <x:f>IF(OR(E41="",F41=""),"",E41*F41)</x:f>
      </x:c>
      <x:c r="H41" s="78"/>
      <x:c r="I41" s="78"/>
    </x:row>
    <x:row r="42">
      <x:c r="A42" s="78" t="str">
        <x:v>BER-0037</x:v>
      </x:c>
      <x:c r="B42" s="78"/>
      <x:c r="C42" s="78"/>
      <x:c r="D42" s="78"/>
      <x:c r="E42" s="84"/>
      <x:c r="F42" s="90"/>
      <x:c r="G42" s="84" t="str">
        <x:f>IF(OR(E42="",F42=""),"",E42*F42)</x:f>
      </x:c>
      <x:c r="H42" s="78"/>
      <x:c r="I42" s="78"/>
    </x:row>
    <x:row r="43">
      <x:c r="A43" s="78" t="str">
        <x:v>BER-0038</x:v>
      </x:c>
      <x:c r="B43" s="78"/>
      <x:c r="C43" s="78"/>
      <x:c r="D43" s="78"/>
      <x:c r="E43" s="84"/>
      <x:c r="F43" s="90"/>
      <x:c r="G43" s="84" t="str">
        <x:f>IF(OR(E43="",F43=""),"",E43*F43)</x:f>
      </x:c>
      <x:c r="H43" s="78"/>
      <x:c r="I43" s="78"/>
    </x:row>
    <x:row r="44">
      <x:c r="A44" s="78" t="str">
        <x:v>BER-0039</x:v>
      </x:c>
      <x:c r="B44" s="78"/>
      <x:c r="C44" s="78"/>
      <x:c r="D44" s="78"/>
      <x:c r="E44" s="84"/>
      <x:c r="F44" s="90"/>
      <x:c r="G44" s="84" t="str">
        <x:f>IF(OR(E44="",F44=""),"",E44*F44)</x:f>
      </x:c>
      <x:c r="H44" s="78"/>
      <x:c r="I44" s="78"/>
    </x:row>
    <x:row r="45">
      <x:c r="A45" s="78" t="str">
        <x:v>BER-0040</x:v>
      </x:c>
      <x:c r="B45" s="78"/>
      <x:c r="C45" s="78"/>
      <x:c r="D45" s="78"/>
      <x:c r="E45" s="84"/>
      <x:c r="F45" s="90"/>
      <x:c r="G45" s="84" t="str">
        <x:f>IF(OR(E45="",F45=""),"",E45*F45)</x:f>
      </x:c>
      <x:c r="H45" s="78"/>
      <x:c r="I45" s="78"/>
    </x:row>
    <x:row r="46">
      <x:c r="A46" s="78" t="str">
        <x:v>BER-0041</x:v>
      </x:c>
      <x:c r="B46" s="78"/>
      <x:c r="C46" s="78"/>
      <x:c r="D46" s="78"/>
      <x:c r="E46" s="84"/>
      <x:c r="F46" s="90"/>
      <x:c r="G46" s="84" t="str">
        <x:f>IF(OR(E46="",F46=""),"",E46*F46)</x:f>
      </x:c>
      <x:c r="H46" s="78"/>
      <x:c r="I46" s="78"/>
    </x:row>
    <x:row r="47">
      <x:c r="A47" s="78" t="str">
        <x:v>BER-0042</x:v>
      </x:c>
      <x:c r="B47" s="78"/>
      <x:c r="C47" s="78"/>
      <x:c r="D47" s="78"/>
      <x:c r="E47" s="84"/>
      <x:c r="F47" s="90"/>
      <x:c r="G47" s="84" t="str">
        <x:f>IF(OR(E47="",F47=""),"",E47*F47)</x:f>
      </x:c>
      <x:c r="H47" s="78"/>
      <x:c r="I47" s="78"/>
    </x:row>
    <x:row r="48">
      <x:c r="A48" s="78" t="str">
        <x:v>BER-0043</x:v>
      </x:c>
      <x:c r="B48" s="78"/>
      <x:c r="C48" s="78"/>
      <x:c r="D48" s="78"/>
      <x:c r="E48" s="84"/>
      <x:c r="F48" s="90"/>
      <x:c r="G48" s="84" t="str">
        <x:f>IF(OR(E48="",F48=""),"",E48*F48)</x:f>
      </x:c>
      <x:c r="H48" s="78"/>
      <x:c r="I48" s="78"/>
    </x:row>
    <x:row r="49">
      <x:c r="A49" s="78" t="str">
        <x:v>BER-0044</x:v>
      </x:c>
      <x:c r="B49" s="78"/>
      <x:c r="C49" s="78"/>
      <x:c r="D49" s="78"/>
      <x:c r="E49" s="84"/>
      <x:c r="F49" s="90"/>
      <x:c r="G49" s="84" t="str">
        <x:f>IF(OR(E49="",F49=""),"",E49*F49)</x:f>
      </x:c>
      <x:c r="H49" s="78"/>
      <x:c r="I49" s="78"/>
    </x:row>
    <x:row r="50">
      <x:c r="A50" s="78" t="str">
        <x:v>BER-0045</x:v>
      </x:c>
      <x:c r="B50" s="78"/>
      <x:c r="C50" s="78"/>
      <x:c r="D50" s="78"/>
      <x:c r="E50" s="84"/>
      <x:c r="F50" s="90"/>
      <x:c r="G50" s="84" t="str">
        <x:f>IF(OR(E50="",F50=""),"",E50*F50)</x:f>
      </x:c>
      <x:c r="H50" s="78"/>
      <x:c r="I50" s="78"/>
    </x:row>
    <x:row r="51">
      <x:c r="A51" s="78" t="str">
        <x:v>BER-0046</x:v>
      </x:c>
      <x:c r="B51" s="78"/>
      <x:c r="C51" s="78"/>
      <x:c r="D51" s="78"/>
      <x:c r="E51" s="84"/>
      <x:c r="F51" s="90"/>
      <x:c r="G51" s="84" t="str">
        <x:f>IF(OR(E51="",F51=""),"",E51*F51)</x:f>
      </x:c>
      <x:c r="H51" s="78"/>
      <x:c r="I51" s="78"/>
    </x:row>
    <x:row r="52">
      <x:c r="A52" s="78" t="str">
        <x:v>BER-0047</x:v>
      </x:c>
      <x:c r="B52" s="78"/>
      <x:c r="C52" s="78"/>
      <x:c r="D52" s="78"/>
      <x:c r="E52" s="84"/>
      <x:c r="F52" s="90"/>
      <x:c r="G52" s="84" t="str">
        <x:f>IF(OR(E52="",F52=""),"",E52*F52)</x:f>
      </x:c>
      <x:c r="H52" s="78"/>
      <x:c r="I52" s="78"/>
    </x:row>
    <x:row r="53">
      <x:c r="A53" s="78" t="str">
        <x:v>BER-0048</x:v>
      </x:c>
      <x:c r="B53" s="78"/>
      <x:c r="C53" s="78"/>
      <x:c r="D53" s="78"/>
      <x:c r="E53" s="84"/>
      <x:c r="F53" s="90"/>
      <x:c r="G53" s="84" t="str">
        <x:f>IF(OR(E53="",F53=""),"",E53*F53)</x:f>
      </x:c>
      <x:c r="H53" s="78"/>
      <x:c r="I53" s="78"/>
    </x:row>
    <x:row r="54">
      <x:c r="A54" s="78" t="str">
        <x:v>BER-0049</x:v>
      </x:c>
      <x:c r="B54" s="78"/>
      <x:c r="C54" s="78"/>
      <x:c r="D54" s="78"/>
      <x:c r="E54" s="84"/>
      <x:c r="F54" s="90"/>
      <x:c r="G54" s="84" t="str">
        <x:f>IF(OR(E54="",F54=""),"",E54*F54)</x:f>
      </x:c>
      <x:c r="H54" s="78"/>
      <x:c r="I54" s="78"/>
    </x:row>
    <x:row r="55">
      <x:c r="A55" s="79" t="str">
        <x:v>BER-0050</x:v>
      </x:c>
      <x:c r="B55" s="79"/>
      <x:c r="C55" s="79"/>
      <x:c r="D55" s="79"/>
      <x:c r="E55" s="85"/>
      <x:c r="F55" s="91"/>
      <x:c r="G55" s="85" t="str">
        <x:f>IF(OR(E55="",F55=""),"",E55*F55)</x:f>
      </x:c>
      <x:c r="H55" s="79"/>
      <x:c r="I55" s="79"/>
    </x:row>
  </x:sheetData>
  <x:mergeCells>
    <x:mergeCell ref="A1:I1"/>
    <x:mergeCell ref="A2:I3"/>
  </x:mergeCells>
  <x:conditionalFormatting sqref="I6:I55">
    <x:cfRule type="containsText" dxfId="4" priority="1" operator="containsText" text="bereit"/>
    <x:cfRule type="containsText" dxfId="5" priority="2" operator="containsText" text="prüfen"/>
    <x:cfRule type="containsText" dxfId="6" priority="3" operator="containsText" text="nachfordern"/>
    <x:cfRule type="containsText" dxfId="7" priority="4" operator="containsText" text="nicht verarbeitet"/>
  </x:conditionalFormatting>
  <x:dataValidations count="1">
    <x:dataValidation type="list" sqref="I6:I55">
      <x:formula1>"bereit,prüfen,nachfordern,nicht verarbeitet"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43df580f8c48a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28" hidden="0" customWidth="1"/>
    <x:col min="4" max="4" width="34" hidden="0" customWidth="1"/>
    <x:col min="5" max="5" width="9" hidden="0" customWidth="1"/>
    <x:col min="6" max="6" width="18" hidden="0" customWidth="1"/>
    <x:col min="7" max="7" width="16" hidden="0" customWidth="1"/>
    <x:col min="8" max="8" width="26" hidden="0" customWidth="1"/>
    <x:col min="9" max="9" width="14" hidden="0" customWidth="1"/>
    <x:col min="10" max="10" width="18" hidden="0" customWidth="1"/>
    <x:col min="11" max="11" width="16" hidden="0" customWidth="1"/>
    <x:col min="12" max="12" width="20" hidden="0" customWidth="1"/>
    <x:col min="13" max="13" width="20" hidden="0" customWidth="1"/>
    <x:col min="14" max="14" width="34" hidden="0" customWidth="1"/>
  </x:cols>
  <x:sheetData>
    <x:row r="1" ht="30" customHeight="1">
      <x:c r="A1" s="3" t="str">
        <x:v>Belegregister der Mandantenunterlagen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4" customHeight="1">
      <x:c r="A2" s="18" t="str">
        <x:v>Jede Originaldatei genau einmal inventarisieren. Originale unverändert lassen; abgeleitete Dateien ausschließlich im Uploadmanifest führen.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3"/>
    </x:row>
    <x:row r="5" ht="32" customHeight="1">
      <x:c r="A5" s="69" t="str">
        <x:v>Beleg-ID</x:v>
      </x:c>
      <x:c r="B5" s="69" t="str">
        <x:v>Originalpfad</x:v>
      </x:c>
      <x:c r="C5" s="69" t="str">
        <x:v>Originaldateiname</x:v>
      </x:c>
      <x:c r="D5" s="69" t="str">
        <x:v>SHA-256 Original</x:v>
      </x:c>
      <x:c r="E5" s="69" t="str">
        <x:v>Seiten</x:v>
      </x:c>
      <x:c r="F5" s="69" t="str">
        <x:v>Person</x:v>
      </x:c>
      <x:c r="G5" s="69" t="str">
        <x:v>Zeitraum</x:v>
      </x:c>
      <x:c r="H5" s="69" t="str">
        <x:v>Thema</x:v>
      </x:c>
      <x:c r="I5" s="69" t="str">
        <x:v>Objekt-ID</x:v>
      </x:c>
      <x:c r="J5" s="69" t="str">
        <x:v>Lesestatus</x:v>
      </x:c>
      <x:c r="K5" s="69" t="str">
        <x:v>Trennung nötig</x:v>
      </x:c>
      <x:c r="L5" s="69" t="str">
        <x:v>Upload-IDs</x:v>
      </x:c>
      <x:c r="M5" s="69" t="str">
        <x:v>Status</x:v>
      </x:c>
      <x:c r="N5" s="69" t="str">
        <x:v>Hinweis</x:v>
      </x:c>
    </x:row>
    <x:row r="6">
      <x:c r="A6" s="77" t="str">
        <x:v>BEL-0001</x:v>
      </x:c>
      <x:c r="B6" s="77"/>
      <x:c r="C6" s="77"/>
      <x:c r="D6" s="77"/>
      <x:c r="E6" s="80"/>
      <x:c r="F6" s="77"/>
      <x:c r="G6" s="77"/>
      <x:c r="H6" s="77"/>
      <x:c r="I6" s="77"/>
      <x:c r="J6" s="77"/>
      <x:c r="K6" s="77"/>
      <x:c r="L6" s="77"/>
      <x:c r="M6" s="77"/>
      <x:c r="N6" s="77"/>
    </x:row>
    <x:row r="7">
      <x:c r="A7" s="78" t="str">
        <x:v>BEL-0002</x:v>
      </x:c>
      <x:c r="B7" s="78"/>
      <x:c r="C7" s="78"/>
      <x:c r="D7" s="78"/>
      <x:c r="E7" s="81"/>
      <x:c r="F7" s="78"/>
      <x:c r="G7" s="78"/>
      <x:c r="H7" s="78"/>
      <x:c r="I7" s="78"/>
      <x:c r="J7" s="78"/>
      <x:c r="K7" s="78"/>
      <x:c r="L7" s="78"/>
      <x:c r="M7" s="78"/>
      <x:c r="N7" s="78"/>
    </x:row>
    <x:row r="8">
      <x:c r="A8" s="78" t="str">
        <x:v>BEL-0003</x:v>
      </x:c>
      <x:c r="B8" s="78"/>
      <x:c r="C8" s="78"/>
      <x:c r="D8" s="78"/>
      <x:c r="E8" s="81"/>
      <x:c r="F8" s="78"/>
      <x:c r="G8" s="78"/>
      <x:c r="H8" s="78"/>
      <x:c r="I8" s="78"/>
      <x:c r="J8" s="78"/>
      <x:c r="K8" s="78"/>
      <x:c r="L8" s="78"/>
      <x:c r="M8" s="78"/>
      <x:c r="N8" s="78"/>
    </x:row>
    <x:row r="9">
      <x:c r="A9" s="78" t="str">
        <x:v>BEL-0004</x:v>
      </x:c>
      <x:c r="B9" s="78"/>
      <x:c r="C9" s="78"/>
      <x:c r="D9" s="78"/>
      <x:c r="E9" s="81"/>
      <x:c r="F9" s="78"/>
      <x:c r="G9" s="78"/>
      <x:c r="H9" s="78"/>
      <x:c r="I9" s="78"/>
      <x:c r="J9" s="78"/>
      <x:c r="K9" s="78"/>
      <x:c r="L9" s="78"/>
      <x:c r="M9" s="78"/>
      <x:c r="N9" s="78"/>
    </x:row>
    <x:row r="10">
      <x:c r="A10" s="78" t="str">
        <x:v>BEL-0005</x:v>
      </x:c>
      <x:c r="B10" s="78"/>
      <x:c r="C10" s="78"/>
      <x:c r="D10" s="78"/>
      <x:c r="E10" s="81"/>
      <x:c r="F10" s="78"/>
      <x:c r="G10" s="78"/>
      <x:c r="H10" s="78"/>
      <x:c r="I10" s="78"/>
      <x:c r="J10" s="78"/>
      <x:c r="K10" s="78"/>
      <x:c r="L10" s="78"/>
      <x:c r="M10" s="78"/>
      <x:c r="N10" s="78"/>
    </x:row>
    <x:row r="11">
      <x:c r="A11" s="78" t="str">
        <x:v>BEL-0006</x:v>
      </x:c>
      <x:c r="B11" s="78"/>
      <x:c r="C11" s="78"/>
      <x:c r="D11" s="78"/>
      <x:c r="E11" s="81"/>
      <x:c r="F11" s="78"/>
      <x:c r="G11" s="78"/>
      <x:c r="H11" s="78"/>
      <x:c r="I11" s="78"/>
      <x:c r="J11" s="78"/>
      <x:c r="K11" s="78"/>
      <x:c r="L11" s="78"/>
      <x:c r="M11" s="78"/>
      <x:c r="N11" s="78"/>
    </x:row>
    <x:row r="12">
      <x:c r="A12" s="78" t="str">
        <x:v>BEL-0007</x:v>
      </x:c>
      <x:c r="B12" s="78"/>
      <x:c r="C12" s="78"/>
      <x:c r="D12" s="78"/>
      <x:c r="E12" s="81"/>
      <x:c r="F12" s="78"/>
      <x:c r="G12" s="78"/>
      <x:c r="H12" s="78"/>
      <x:c r="I12" s="78"/>
      <x:c r="J12" s="78"/>
      <x:c r="K12" s="78"/>
      <x:c r="L12" s="78"/>
      <x:c r="M12" s="78"/>
      <x:c r="N12" s="78"/>
    </x:row>
    <x:row r="13">
      <x:c r="A13" s="78" t="str">
        <x:v>BEL-0008</x:v>
      </x:c>
      <x:c r="B13" s="78"/>
      <x:c r="C13" s="78"/>
      <x:c r="D13" s="78"/>
      <x:c r="E13" s="81"/>
      <x:c r="F13" s="78"/>
      <x:c r="G13" s="78"/>
      <x:c r="H13" s="78"/>
      <x:c r="I13" s="78"/>
      <x:c r="J13" s="78"/>
      <x:c r="K13" s="78"/>
      <x:c r="L13" s="78"/>
      <x:c r="M13" s="78"/>
      <x:c r="N13" s="78"/>
    </x:row>
    <x:row r="14">
      <x:c r="A14" s="78" t="str">
        <x:v>BEL-0009</x:v>
      </x:c>
      <x:c r="B14" s="78"/>
      <x:c r="C14" s="78"/>
      <x:c r="D14" s="78"/>
      <x:c r="E14" s="81"/>
      <x:c r="F14" s="78"/>
      <x:c r="G14" s="78"/>
      <x:c r="H14" s="78"/>
      <x:c r="I14" s="78"/>
      <x:c r="J14" s="78"/>
      <x:c r="K14" s="78"/>
      <x:c r="L14" s="78"/>
      <x:c r="M14" s="78"/>
      <x:c r="N14" s="78"/>
    </x:row>
    <x:row r="15">
      <x:c r="A15" s="78" t="str">
        <x:v>BEL-0010</x:v>
      </x:c>
      <x:c r="B15" s="78"/>
      <x:c r="C15" s="78"/>
      <x:c r="D15" s="78"/>
      <x:c r="E15" s="81"/>
      <x:c r="F15" s="78"/>
      <x:c r="G15" s="78"/>
      <x:c r="H15" s="78"/>
      <x:c r="I15" s="78"/>
      <x:c r="J15" s="78"/>
      <x:c r="K15" s="78"/>
      <x:c r="L15" s="78"/>
      <x:c r="M15" s="78"/>
      <x:c r="N15" s="78"/>
    </x:row>
    <x:row r="16">
      <x:c r="A16" s="78" t="str">
        <x:v>BEL-0011</x:v>
      </x:c>
      <x:c r="B16" s="78"/>
      <x:c r="C16" s="78"/>
      <x:c r="D16" s="78"/>
      <x:c r="E16" s="81"/>
      <x:c r="F16" s="78"/>
      <x:c r="G16" s="78"/>
      <x:c r="H16" s="78"/>
      <x:c r="I16" s="78"/>
      <x:c r="J16" s="78"/>
      <x:c r="K16" s="78"/>
      <x:c r="L16" s="78"/>
      <x:c r="M16" s="78"/>
      <x:c r="N16" s="78"/>
    </x:row>
    <x:row r="17">
      <x:c r="A17" s="78" t="str">
        <x:v>BEL-0012</x:v>
      </x:c>
      <x:c r="B17" s="78"/>
      <x:c r="C17" s="78"/>
      <x:c r="D17" s="78"/>
      <x:c r="E17" s="81"/>
      <x:c r="F17" s="78"/>
      <x:c r="G17" s="78"/>
      <x:c r="H17" s="78"/>
      <x:c r="I17" s="78"/>
      <x:c r="J17" s="78"/>
      <x:c r="K17" s="78"/>
      <x:c r="L17" s="78"/>
      <x:c r="M17" s="78"/>
      <x:c r="N17" s="78"/>
    </x:row>
    <x:row r="18">
      <x:c r="A18" s="78" t="str">
        <x:v>BEL-0013</x:v>
      </x:c>
      <x:c r="B18" s="78"/>
      <x:c r="C18" s="78"/>
      <x:c r="D18" s="78"/>
      <x:c r="E18" s="81"/>
      <x:c r="F18" s="78"/>
      <x:c r="G18" s="78"/>
      <x:c r="H18" s="78"/>
      <x:c r="I18" s="78"/>
      <x:c r="J18" s="78"/>
      <x:c r="K18" s="78"/>
      <x:c r="L18" s="78"/>
      <x:c r="M18" s="78"/>
      <x:c r="N18" s="78"/>
    </x:row>
    <x:row r="19">
      <x:c r="A19" s="78" t="str">
        <x:v>BEL-0014</x:v>
      </x:c>
      <x:c r="B19" s="78"/>
      <x:c r="C19" s="78"/>
      <x:c r="D19" s="78"/>
      <x:c r="E19" s="81"/>
      <x:c r="F19" s="78"/>
      <x:c r="G19" s="78"/>
      <x:c r="H19" s="78"/>
      <x:c r="I19" s="78"/>
      <x:c r="J19" s="78"/>
      <x:c r="K19" s="78"/>
      <x:c r="L19" s="78"/>
      <x:c r="M19" s="78"/>
      <x:c r="N19" s="78"/>
    </x:row>
    <x:row r="20">
      <x:c r="A20" s="78" t="str">
        <x:v>BEL-0015</x:v>
      </x:c>
      <x:c r="B20" s="78"/>
      <x:c r="C20" s="78"/>
      <x:c r="D20" s="78"/>
      <x:c r="E20" s="81"/>
      <x:c r="F20" s="78"/>
      <x:c r="G20" s="78"/>
      <x:c r="H20" s="78"/>
      <x:c r="I20" s="78"/>
      <x:c r="J20" s="78"/>
      <x:c r="K20" s="78"/>
      <x:c r="L20" s="78"/>
      <x:c r="M20" s="78"/>
      <x:c r="N20" s="78"/>
    </x:row>
    <x:row r="21">
      <x:c r="A21" s="78" t="str">
        <x:v>BEL-0016</x:v>
      </x:c>
      <x:c r="B21" s="78"/>
      <x:c r="C21" s="78"/>
      <x:c r="D21" s="78"/>
      <x:c r="E21" s="81"/>
      <x:c r="F21" s="78"/>
      <x:c r="G21" s="78"/>
      <x:c r="H21" s="78"/>
      <x:c r="I21" s="78"/>
      <x:c r="J21" s="78"/>
      <x:c r="K21" s="78"/>
      <x:c r="L21" s="78"/>
      <x:c r="M21" s="78"/>
      <x:c r="N21" s="78"/>
    </x:row>
    <x:row r="22">
      <x:c r="A22" s="78" t="str">
        <x:v>BEL-0017</x:v>
      </x:c>
      <x:c r="B22" s="78"/>
      <x:c r="C22" s="78"/>
      <x:c r="D22" s="78"/>
      <x:c r="E22" s="81"/>
      <x:c r="F22" s="78"/>
      <x:c r="G22" s="78"/>
      <x:c r="H22" s="78"/>
      <x:c r="I22" s="78"/>
      <x:c r="J22" s="78"/>
      <x:c r="K22" s="78"/>
      <x:c r="L22" s="78"/>
      <x:c r="M22" s="78"/>
      <x:c r="N22" s="78"/>
    </x:row>
    <x:row r="23">
      <x:c r="A23" s="78" t="str">
        <x:v>BEL-0018</x:v>
      </x:c>
      <x:c r="B23" s="78"/>
      <x:c r="C23" s="78"/>
      <x:c r="D23" s="78"/>
      <x:c r="E23" s="81"/>
      <x:c r="F23" s="78"/>
      <x:c r="G23" s="78"/>
      <x:c r="H23" s="78"/>
      <x:c r="I23" s="78"/>
      <x:c r="J23" s="78"/>
      <x:c r="K23" s="78"/>
      <x:c r="L23" s="78"/>
      <x:c r="M23" s="78"/>
      <x:c r="N23" s="78"/>
    </x:row>
    <x:row r="24">
      <x:c r="A24" s="78" t="str">
        <x:v>BEL-0019</x:v>
      </x:c>
      <x:c r="B24" s="78"/>
      <x:c r="C24" s="78"/>
      <x:c r="D24" s="78"/>
      <x:c r="E24" s="81"/>
      <x:c r="F24" s="78"/>
      <x:c r="G24" s="78"/>
      <x:c r="H24" s="78"/>
      <x:c r="I24" s="78"/>
      <x:c r="J24" s="78"/>
      <x:c r="K24" s="78"/>
      <x:c r="L24" s="78"/>
      <x:c r="M24" s="78"/>
      <x:c r="N24" s="78"/>
    </x:row>
    <x:row r="25">
      <x:c r="A25" s="78" t="str">
        <x:v>BEL-0020</x:v>
      </x:c>
      <x:c r="B25" s="78"/>
      <x:c r="C25" s="78"/>
      <x:c r="D25" s="78"/>
      <x:c r="E25" s="81"/>
      <x:c r="F25" s="78"/>
      <x:c r="G25" s="78"/>
      <x:c r="H25" s="78"/>
      <x:c r="I25" s="78"/>
      <x:c r="J25" s="78"/>
      <x:c r="K25" s="78"/>
      <x:c r="L25" s="78"/>
      <x:c r="M25" s="78"/>
      <x:c r="N25" s="78"/>
    </x:row>
    <x:row r="26">
      <x:c r="A26" s="78" t="str">
        <x:v>BEL-0021</x:v>
      </x:c>
      <x:c r="B26" s="78"/>
      <x:c r="C26" s="78"/>
      <x:c r="D26" s="78"/>
      <x:c r="E26" s="81"/>
      <x:c r="F26" s="78"/>
      <x:c r="G26" s="78"/>
      <x:c r="H26" s="78"/>
      <x:c r="I26" s="78"/>
      <x:c r="J26" s="78"/>
      <x:c r="K26" s="78"/>
      <x:c r="L26" s="78"/>
      <x:c r="M26" s="78"/>
      <x:c r="N26" s="78"/>
    </x:row>
    <x:row r="27">
      <x:c r="A27" s="78" t="str">
        <x:v>BEL-0022</x:v>
      </x:c>
      <x:c r="B27" s="78"/>
      <x:c r="C27" s="78"/>
      <x:c r="D27" s="78"/>
      <x:c r="E27" s="81"/>
      <x:c r="F27" s="78"/>
      <x:c r="G27" s="78"/>
      <x:c r="H27" s="78"/>
      <x:c r="I27" s="78"/>
      <x:c r="J27" s="78"/>
      <x:c r="K27" s="78"/>
      <x:c r="L27" s="78"/>
      <x:c r="M27" s="78"/>
      <x:c r="N27" s="78"/>
    </x:row>
    <x:row r="28">
      <x:c r="A28" s="78" t="str">
        <x:v>BEL-0023</x:v>
      </x:c>
      <x:c r="B28" s="78"/>
      <x:c r="C28" s="78"/>
      <x:c r="D28" s="78"/>
      <x:c r="E28" s="81"/>
      <x:c r="F28" s="78"/>
      <x:c r="G28" s="78"/>
      <x:c r="H28" s="78"/>
      <x:c r="I28" s="78"/>
      <x:c r="J28" s="78"/>
      <x:c r="K28" s="78"/>
      <x:c r="L28" s="78"/>
      <x:c r="M28" s="78"/>
      <x:c r="N28" s="78"/>
    </x:row>
    <x:row r="29">
      <x:c r="A29" s="78" t="str">
        <x:v>BEL-0024</x:v>
      </x:c>
      <x:c r="B29" s="78"/>
      <x:c r="C29" s="78"/>
      <x:c r="D29" s="78"/>
      <x:c r="E29" s="81"/>
      <x:c r="F29" s="78"/>
      <x:c r="G29" s="78"/>
      <x:c r="H29" s="78"/>
      <x:c r="I29" s="78"/>
      <x:c r="J29" s="78"/>
      <x:c r="K29" s="78"/>
      <x:c r="L29" s="78"/>
      <x:c r="M29" s="78"/>
      <x:c r="N29" s="78"/>
    </x:row>
    <x:row r="30">
      <x:c r="A30" s="78" t="str">
        <x:v>BEL-0025</x:v>
      </x:c>
      <x:c r="B30" s="78"/>
      <x:c r="C30" s="78"/>
      <x:c r="D30" s="78"/>
      <x:c r="E30" s="81"/>
      <x:c r="F30" s="78"/>
      <x:c r="G30" s="78"/>
      <x:c r="H30" s="78"/>
      <x:c r="I30" s="78"/>
      <x:c r="J30" s="78"/>
      <x:c r="K30" s="78"/>
      <x:c r="L30" s="78"/>
      <x:c r="M30" s="78"/>
      <x:c r="N30" s="78"/>
    </x:row>
    <x:row r="31">
      <x:c r="A31" s="78" t="str">
        <x:v>BEL-0026</x:v>
      </x:c>
      <x:c r="B31" s="78"/>
      <x:c r="C31" s="78"/>
      <x:c r="D31" s="78"/>
      <x:c r="E31" s="81"/>
      <x:c r="F31" s="78"/>
      <x:c r="G31" s="78"/>
      <x:c r="H31" s="78"/>
      <x:c r="I31" s="78"/>
      <x:c r="J31" s="78"/>
      <x:c r="K31" s="78"/>
      <x:c r="L31" s="78"/>
      <x:c r="M31" s="78"/>
      <x:c r="N31" s="78"/>
    </x:row>
    <x:row r="32">
      <x:c r="A32" s="78" t="str">
        <x:v>BEL-0027</x:v>
      </x:c>
      <x:c r="B32" s="78"/>
      <x:c r="C32" s="78"/>
      <x:c r="D32" s="78"/>
      <x:c r="E32" s="81"/>
      <x:c r="F32" s="78"/>
      <x:c r="G32" s="78"/>
      <x:c r="H32" s="78"/>
      <x:c r="I32" s="78"/>
      <x:c r="J32" s="78"/>
      <x:c r="K32" s="78"/>
      <x:c r="L32" s="78"/>
      <x:c r="M32" s="78"/>
      <x:c r="N32" s="78"/>
    </x:row>
    <x:row r="33">
      <x:c r="A33" s="78" t="str">
        <x:v>BEL-0028</x:v>
      </x:c>
      <x:c r="B33" s="78"/>
      <x:c r="C33" s="78"/>
      <x:c r="D33" s="78"/>
      <x:c r="E33" s="81"/>
      <x:c r="F33" s="78"/>
      <x:c r="G33" s="78"/>
      <x:c r="H33" s="78"/>
      <x:c r="I33" s="78"/>
      <x:c r="J33" s="78"/>
      <x:c r="K33" s="78"/>
      <x:c r="L33" s="78"/>
      <x:c r="M33" s="78"/>
      <x:c r="N33" s="78"/>
    </x:row>
    <x:row r="34">
      <x:c r="A34" s="78" t="str">
        <x:v>BEL-0029</x:v>
      </x:c>
      <x:c r="B34" s="78"/>
      <x:c r="C34" s="78"/>
      <x:c r="D34" s="78"/>
      <x:c r="E34" s="81"/>
      <x:c r="F34" s="78"/>
      <x:c r="G34" s="78"/>
      <x:c r="H34" s="78"/>
      <x:c r="I34" s="78"/>
      <x:c r="J34" s="78"/>
      <x:c r="K34" s="78"/>
      <x:c r="L34" s="78"/>
      <x:c r="M34" s="78"/>
      <x:c r="N34" s="78"/>
    </x:row>
    <x:row r="35">
      <x:c r="A35" s="78" t="str">
        <x:v>BEL-0030</x:v>
      </x:c>
      <x:c r="B35" s="78"/>
      <x:c r="C35" s="78"/>
      <x:c r="D35" s="78"/>
      <x:c r="E35" s="81"/>
      <x:c r="F35" s="78"/>
      <x:c r="G35" s="78"/>
      <x:c r="H35" s="78"/>
      <x:c r="I35" s="78"/>
      <x:c r="J35" s="78"/>
      <x:c r="K35" s="78"/>
      <x:c r="L35" s="78"/>
      <x:c r="M35" s="78"/>
      <x:c r="N35" s="78"/>
    </x:row>
    <x:row r="36">
      <x:c r="A36" s="78" t="str">
        <x:v>BEL-0031</x:v>
      </x:c>
      <x:c r="B36" s="78"/>
      <x:c r="C36" s="78"/>
      <x:c r="D36" s="78"/>
      <x:c r="E36" s="81"/>
      <x:c r="F36" s="78"/>
      <x:c r="G36" s="78"/>
      <x:c r="H36" s="78"/>
      <x:c r="I36" s="78"/>
      <x:c r="J36" s="78"/>
      <x:c r="K36" s="78"/>
      <x:c r="L36" s="78"/>
      <x:c r="M36" s="78"/>
      <x:c r="N36" s="78"/>
    </x:row>
    <x:row r="37">
      <x:c r="A37" s="78" t="str">
        <x:v>BEL-0032</x:v>
      </x:c>
      <x:c r="B37" s="78"/>
      <x:c r="C37" s="78"/>
      <x:c r="D37" s="78"/>
      <x:c r="E37" s="81"/>
      <x:c r="F37" s="78"/>
      <x:c r="G37" s="78"/>
      <x:c r="H37" s="78"/>
      <x:c r="I37" s="78"/>
      <x:c r="J37" s="78"/>
      <x:c r="K37" s="78"/>
      <x:c r="L37" s="78"/>
      <x:c r="M37" s="78"/>
      <x:c r="N37" s="78"/>
    </x:row>
    <x:row r="38">
      <x:c r="A38" s="78" t="str">
        <x:v>BEL-0033</x:v>
      </x:c>
      <x:c r="B38" s="78"/>
      <x:c r="C38" s="78"/>
      <x:c r="D38" s="78"/>
      <x:c r="E38" s="81"/>
      <x:c r="F38" s="78"/>
      <x:c r="G38" s="78"/>
      <x:c r="H38" s="78"/>
      <x:c r="I38" s="78"/>
      <x:c r="J38" s="78"/>
      <x:c r="K38" s="78"/>
      <x:c r="L38" s="78"/>
      <x:c r="M38" s="78"/>
      <x:c r="N38" s="78"/>
    </x:row>
    <x:row r="39">
      <x:c r="A39" s="78" t="str">
        <x:v>BEL-0034</x:v>
      </x:c>
      <x:c r="B39" s="78"/>
      <x:c r="C39" s="78"/>
      <x:c r="D39" s="78"/>
      <x:c r="E39" s="81"/>
      <x:c r="F39" s="78"/>
      <x:c r="G39" s="78"/>
      <x:c r="H39" s="78"/>
      <x:c r="I39" s="78"/>
      <x:c r="J39" s="78"/>
      <x:c r="K39" s="78"/>
      <x:c r="L39" s="78"/>
      <x:c r="M39" s="78"/>
      <x:c r="N39" s="78"/>
    </x:row>
    <x:row r="40">
      <x:c r="A40" s="78" t="str">
        <x:v>BEL-0035</x:v>
      </x:c>
      <x:c r="B40" s="78"/>
      <x:c r="C40" s="78"/>
      <x:c r="D40" s="78"/>
      <x:c r="E40" s="81"/>
      <x:c r="F40" s="78"/>
      <x:c r="G40" s="78"/>
      <x:c r="H40" s="78"/>
      <x:c r="I40" s="78"/>
      <x:c r="J40" s="78"/>
      <x:c r="K40" s="78"/>
      <x:c r="L40" s="78"/>
      <x:c r="M40" s="78"/>
      <x:c r="N40" s="78"/>
    </x:row>
    <x:row r="41">
      <x:c r="A41" s="78" t="str">
        <x:v>BEL-0036</x:v>
      </x:c>
      <x:c r="B41" s="78"/>
      <x:c r="C41" s="78"/>
      <x:c r="D41" s="78"/>
      <x:c r="E41" s="81"/>
      <x:c r="F41" s="78"/>
      <x:c r="G41" s="78"/>
      <x:c r="H41" s="78"/>
      <x:c r="I41" s="78"/>
      <x:c r="J41" s="78"/>
      <x:c r="K41" s="78"/>
      <x:c r="L41" s="78"/>
      <x:c r="M41" s="78"/>
      <x:c r="N41" s="78"/>
    </x:row>
    <x:row r="42">
      <x:c r="A42" s="78" t="str">
        <x:v>BEL-0037</x:v>
      </x:c>
      <x:c r="B42" s="78"/>
      <x:c r="C42" s="78"/>
      <x:c r="D42" s="78"/>
      <x:c r="E42" s="81"/>
      <x:c r="F42" s="78"/>
      <x:c r="G42" s="78"/>
      <x:c r="H42" s="78"/>
      <x:c r="I42" s="78"/>
      <x:c r="J42" s="78"/>
      <x:c r="K42" s="78"/>
      <x:c r="L42" s="78"/>
      <x:c r="M42" s="78"/>
      <x:c r="N42" s="78"/>
    </x:row>
    <x:row r="43">
      <x:c r="A43" s="78" t="str">
        <x:v>BEL-0038</x:v>
      </x:c>
      <x:c r="B43" s="78"/>
      <x:c r="C43" s="78"/>
      <x:c r="D43" s="78"/>
      <x:c r="E43" s="81"/>
      <x:c r="F43" s="78"/>
      <x:c r="G43" s="78"/>
      <x:c r="H43" s="78"/>
      <x:c r="I43" s="78"/>
      <x:c r="J43" s="78"/>
      <x:c r="K43" s="78"/>
      <x:c r="L43" s="78"/>
      <x:c r="M43" s="78"/>
      <x:c r="N43" s="78"/>
    </x:row>
    <x:row r="44">
      <x:c r="A44" s="78" t="str">
        <x:v>BEL-0039</x:v>
      </x:c>
      <x:c r="B44" s="78"/>
      <x:c r="C44" s="78"/>
      <x:c r="D44" s="78"/>
      <x:c r="E44" s="81"/>
      <x:c r="F44" s="78"/>
      <x:c r="G44" s="78"/>
      <x:c r="H44" s="78"/>
      <x:c r="I44" s="78"/>
      <x:c r="J44" s="78"/>
      <x:c r="K44" s="78"/>
      <x:c r="L44" s="78"/>
      <x:c r="M44" s="78"/>
      <x:c r="N44" s="78"/>
    </x:row>
    <x:row r="45">
      <x:c r="A45" s="78" t="str">
        <x:v>BEL-0040</x:v>
      </x:c>
      <x:c r="B45" s="78"/>
      <x:c r="C45" s="78"/>
      <x:c r="D45" s="78"/>
      <x:c r="E45" s="81"/>
      <x:c r="F45" s="78"/>
      <x:c r="G45" s="78"/>
      <x:c r="H45" s="78"/>
      <x:c r="I45" s="78"/>
      <x:c r="J45" s="78"/>
      <x:c r="K45" s="78"/>
      <x:c r="L45" s="78"/>
      <x:c r="M45" s="78"/>
      <x:c r="N45" s="78"/>
    </x:row>
    <x:row r="46">
      <x:c r="A46" s="78" t="str">
        <x:v>BEL-0041</x:v>
      </x:c>
      <x:c r="B46" s="78"/>
      <x:c r="C46" s="78"/>
      <x:c r="D46" s="78"/>
      <x:c r="E46" s="81"/>
      <x:c r="F46" s="78"/>
      <x:c r="G46" s="78"/>
      <x:c r="H46" s="78"/>
      <x:c r="I46" s="78"/>
      <x:c r="J46" s="78"/>
      <x:c r="K46" s="78"/>
      <x:c r="L46" s="78"/>
      <x:c r="M46" s="78"/>
      <x:c r="N46" s="78"/>
    </x:row>
    <x:row r="47">
      <x:c r="A47" s="78" t="str">
        <x:v>BEL-0042</x:v>
      </x:c>
      <x:c r="B47" s="78"/>
      <x:c r="C47" s="78"/>
      <x:c r="D47" s="78"/>
      <x:c r="E47" s="81"/>
      <x:c r="F47" s="78"/>
      <x:c r="G47" s="78"/>
      <x:c r="H47" s="78"/>
      <x:c r="I47" s="78"/>
      <x:c r="J47" s="78"/>
      <x:c r="K47" s="78"/>
      <x:c r="L47" s="78"/>
      <x:c r="M47" s="78"/>
      <x:c r="N47" s="78"/>
    </x:row>
    <x:row r="48">
      <x:c r="A48" s="78" t="str">
        <x:v>BEL-0043</x:v>
      </x:c>
      <x:c r="B48" s="78"/>
      <x:c r="C48" s="78"/>
      <x:c r="D48" s="78"/>
      <x:c r="E48" s="81"/>
      <x:c r="F48" s="78"/>
      <x:c r="G48" s="78"/>
      <x:c r="H48" s="78"/>
      <x:c r="I48" s="78"/>
      <x:c r="J48" s="78"/>
      <x:c r="K48" s="78"/>
      <x:c r="L48" s="78"/>
      <x:c r="M48" s="78"/>
      <x:c r="N48" s="78"/>
    </x:row>
    <x:row r="49">
      <x:c r="A49" s="78" t="str">
        <x:v>BEL-0044</x:v>
      </x:c>
      <x:c r="B49" s="78"/>
      <x:c r="C49" s="78"/>
      <x:c r="D49" s="78"/>
      <x:c r="E49" s="81"/>
      <x:c r="F49" s="78"/>
      <x:c r="G49" s="78"/>
      <x:c r="H49" s="78"/>
      <x:c r="I49" s="78"/>
      <x:c r="J49" s="78"/>
      <x:c r="K49" s="78"/>
      <x:c r="L49" s="78"/>
      <x:c r="M49" s="78"/>
      <x:c r="N49" s="78"/>
    </x:row>
    <x:row r="50">
      <x:c r="A50" s="78" t="str">
        <x:v>BEL-0045</x:v>
      </x:c>
      <x:c r="B50" s="78"/>
      <x:c r="C50" s="78"/>
      <x:c r="D50" s="78"/>
      <x:c r="E50" s="81"/>
      <x:c r="F50" s="78"/>
      <x:c r="G50" s="78"/>
      <x:c r="H50" s="78"/>
      <x:c r="I50" s="78"/>
      <x:c r="J50" s="78"/>
      <x:c r="K50" s="78"/>
      <x:c r="L50" s="78"/>
      <x:c r="M50" s="78"/>
      <x:c r="N50" s="78"/>
    </x:row>
    <x:row r="51">
      <x:c r="A51" s="78" t="str">
        <x:v>BEL-0046</x:v>
      </x:c>
      <x:c r="B51" s="78"/>
      <x:c r="C51" s="78"/>
      <x:c r="D51" s="78"/>
      <x:c r="E51" s="81"/>
      <x:c r="F51" s="78"/>
      <x:c r="G51" s="78"/>
      <x:c r="H51" s="78"/>
      <x:c r="I51" s="78"/>
      <x:c r="J51" s="78"/>
      <x:c r="K51" s="78"/>
      <x:c r="L51" s="78"/>
      <x:c r="M51" s="78"/>
      <x:c r="N51" s="78"/>
    </x:row>
    <x:row r="52">
      <x:c r="A52" s="78" t="str">
        <x:v>BEL-0047</x:v>
      </x:c>
      <x:c r="B52" s="78"/>
      <x:c r="C52" s="78"/>
      <x:c r="D52" s="78"/>
      <x:c r="E52" s="81"/>
      <x:c r="F52" s="78"/>
      <x:c r="G52" s="78"/>
      <x:c r="H52" s="78"/>
      <x:c r="I52" s="78"/>
      <x:c r="J52" s="78"/>
      <x:c r="K52" s="78"/>
      <x:c r="L52" s="78"/>
      <x:c r="M52" s="78"/>
      <x:c r="N52" s="78"/>
    </x:row>
    <x:row r="53">
      <x:c r="A53" s="78" t="str">
        <x:v>BEL-0048</x:v>
      </x:c>
      <x:c r="B53" s="78"/>
      <x:c r="C53" s="78"/>
      <x:c r="D53" s="78"/>
      <x:c r="E53" s="81"/>
      <x:c r="F53" s="78"/>
      <x:c r="G53" s="78"/>
      <x:c r="H53" s="78"/>
      <x:c r="I53" s="78"/>
      <x:c r="J53" s="78"/>
      <x:c r="K53" s="78"/>
      <x:c r="L53" s="78"/>
      <x:c r="M53" s="78"/>
      <x:c r="N53" s="78"/>
    </x:row>
    <x:row r="54">
      <x:c r="A54" s="78" t="str">
        <x:v>BEL-0049</x:v>
      </x:c>
      <x:c r="B54" s="78"/>
      <x:c r="C54" s="78"/>
      <x:c r="D54" s="78"/>
      <x:c r="E54" s="81"/>
      <x:c r="F54" s="78"/>
      <x:c r="G54" s="78"/>
      <x:c r="H54" s="78"/>
      <x:c r="I54" s="78"/>
      <x:c r="J54" s="78"/>
      <x:c r="K54" s="78"/>
      <x:c r="L54" s="78"/>
      <x:c r="M54" s="78"/>
      <x:c r="N54" s="78"/>
    </x:row>
    <x:row r="55">
      <x:c r="A55" s="79" t="str">
        <x:v>BEL-0050</x:v>
      </x:c>
      <x:c r="B55" s="79"/>
      <x:c r="C55" s="79"/>
      <x:c r="D55" s="79"/>
      <x:c r="E55" s="82"/>
      <x:c r="F55" s="79"/>
      <x:c r="G55" s="79"/>
      <x:c r="H55" s="79"/>
      <x:c r="I55" s="79"/>
      <x:c r="J55" s="79"/>
      <x:c r="K55" s="79"/>
      <x:c r="L55" s="79"/>
      <x:c r="M55" s="79"/>
      <x:c r="N55" s="79"/>
    </x:row>
  </x:sheetData>
  <x:mergeCells>
    <x:mergeCell ref="A1:N1"/>
    <x:mergeCell ref="A2:N3"/>
  </x:mergeCells>
  <x:conditionalFormatting sqref="M6:M55">
    <x:cfRule type="containsText" dxfId="8" priority="1" operator="containsText" text="bereit"/>
    <x:cfRule type="containsText" dxfId="9" priority="2" operator="containsText" text="prüfen"/>
    <x:cfRule type="containsText" dxfId="10" priority="3" operator="containsText" text="nachfordern"/>
    <x:cfRule type="containsText" dxfId="11" priority="4" operator="containsText" text="nicht verarbeitet"/>
  </x:conditionalFormatting>
  <x:dataValidations count="2">
    <x:dataValidation type="list" sqref="K6:K55">
      <x:formula1>"ja,nein,prüfen"</x:formula1>
    </x:dataValidation>
    <x:dataValidation type="list" sqref="M6:M55">
      <x:formula1>"bereit,prüfen,nachfordern,nicht verarbeitet"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a8c428a408246b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34" hidden="0" customWidth="1"/>
    <x:col min="4" max="4" width="18" hidden="0" customWidth="1"/>
    <x:col min="5" max="5" width="18" hidden="0" customWidth="1"/>
    <x:col min="6" max="6" width="22" hidden="0" customWidth="1"/>
    <x:col min="7" max="7" width="20" hidden="0" customWidth="1"/>
    <x:col min="8" max="8" width="22" hidden="0" customWidth="1"/>
    <x:col min="9" max="9" width="16" hidden="0" customWidth="1"/>
    <x:col min="10" max="10" width="22" hidden="0" customWidth="1"/>
    <x:col min="11" max="11" width="20" hidden="0" customWidth="1"/>
    <x:col min="12" max="12" width="38" hidden="0" customWidth="1"/>
  </x:cols>
  <x:sheetData>
    <x:row r="1" ht="30" customHeight="1">
      <x:c r="A1" s="3" t="str">
        <x:v>Vermietungsobjekte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18" t="str">
        <x:v>Objektkennzeichnungen aus Ordnern und Dateinamen gegen den Beleginhalt plausibilisieren. Aufteilungsquoten nicht ohne dokumentierte Flächen- oder Nutzungsgrundlage übernehmen.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3"/>
    </x:row>
    <x:row r="5" ht="32" customHeight="1">
      <x:c r="A5" s="69" t="str">
        <x:v>Objekt-ID</x:v>
      </x:c>
      <x:c r="B5" s="69" t="str">
        <x:v>Bezeichnung</x:v>
      </x:c>
      <x:c r="C5" s="69" t="str">
        <x:v>Anschrift</x:v>
      </x:c>
      <x:c r="D5" s="69" t="str">
        <x:v>Person</x:v>
      </x:c>
      <x:c r="E5" s="69" t="str">
        <x:v>Eigentumsanteil</x:v>
      </x:c>
      <x:c r="F5" s="69" t="str">
        <x:v>Vermietungszeitraum</x:v>
      </x:c>
      <x:c r="G5" s="69" t="str">
        <x:v>Gesamtfläche qm</x:v>
      </x:c>
      <x:c r="H5" s="69" t="str">
        <x:v>Vermietete Fläche qm</x:v>
      </x:c>
      <x:c r="I5" s="69" t="str">
        <x:v>Flächenanteil</x:v>
      </x:c>
      <x:c r="J5" s="69" t="str">
        <x:v>Quellen-IDs</x:v>
      </x:c>
      <x:c r="K5" s="69" t="str">
        <x:v>Status</x:v>
      </x:c>
      <x:c r="L5" s="69" t="str">
        <x:v>Prüfhinweis</x:v>
      </x:c>
    </x:row>
    <x:row r="6">
      <x:c r="A6" s="77" t="str">
        <x:v>OBJ-0001</x:v>
      </x:c>
      <x:c r="B6" s="77"/>
      <x:c r="C6" s="77"/>
      <x:c r="D6" s="77"/>
      <x:c r="E6" s="89"/>
      <x:c r="F6" s="77"/>
      <x:c r="G6" s="83"/>
      <x:c r="H6" s="83"/>
      <x:c r="I6" s="89" t="str">
        <x:f>IF(OR(G6="",H6="",G6=0),"",H6/G6)</x:f>
      </x:c>
      <x:c r="J6" s="77"/>
      <x:c r="K6" s="77"/>
      <x:c r="L6" s="77"/>
    </x:row>
    <x:row r="7">
      <x:c r="A7" s="78" t="str">
        <x:v>OBJ-0002</x:v>
      </x:c>
      <x:c r="B7" s="78"/>
      <x:c r="C7" s="78"/>
      <x:c r="D7" s="78"/>
      <x:c r="E7" s="90"/>
      <x:c r="F7" s="78"/>
      <x:c r="G7" s="84"/>
      <x:c r="H7" s="84"/>
      <x:c r="I7" s="90" t="str">
        <x:f>IF(OR(G7="",H7="",G7=0),"",H7/G7)</x:f>
      </x:c>
      <x:c r="J7" s="78"/>
      <x:c r="K7" s="78"/>
      <x:c r="L7" s="78"/>
    </x:row>
    <x:row r="8">
      <x:c r="A8" s="78" t="str">
        <x:v>OBJ-0003</x:v>
      </x:c>
      <x:c r="B8" s="78"/>
      <x:c r="C8" s="78"/>
      <x:c r="D8" s="78"/>
      <x:c r="E8" s="90"/>
      <x:c r="F8" s="78"/>
      <x:c r="G8" s="84"/>
      <x:c r="H8" s="84"/>
      <x:c r="I8" s="90" t="str">
        <x:f>IF(OR(G8="",H8="",G8=0),"",H8/G8)</x:f>
      </x:c>
      <x:c r="J8" s="78"/>
      <x:c r="K8" s="78"/>
      <x:c r="L8" s="78"/>
    </x:row>
    <x:row r="9">
      <x:c r="A9" s="78" t="str">
        <x:v>OBJ-0004</x:v>
      </x:c>
      <x:c r="B9" s="78"/>
      <x:c r="C9" s="78"/>
      <x:c r="D9" s="78"/>
      <x:c r="E9" s="90"/>
      <x:c r="F9" s="78"/>
      <x:c r="G9" s="84"/>
      <x:c r="H9" s="84"/>
      <x:c r="I9" s="90" t="str">
        <x:f>IF(OR(G9="",H9="",G9=0),"",H9/G9)</x:f>
      </x:c>
      <x:c r="J9" s="78"/>
      <x:c r="K9" s="78"/>
      <x:c r="L9" s="78"/>
    </x:row>
    <x:row r="10">
      <x:c r="A10" s="78" t="str">
        <x:v>OBJ-0005</x:v>
      </x:c>
      <x:c r="B10" s="78"/>
      <x:c r="C10" s="78"/>
      <x:c r="D10" s="78"/>
      <x:c r="E10" s="90"/>
      <x:c r="F10" s="78"/>
      <x:c r="G10" s="84"/>
      <x:c r="H10" s="84"/>
      <x:c r="I10" s="90" t="str">
        <x:f>IF(OR(G10="",H10="",G10=0),"",H10/G10)</x:f>
      </x:c>
      <x:c r="J10" s="78"/>
      <x:c r="K10" s="78"/>
      <x:c r="L10" s="78"/>
    </x:row>
    <x:row r="11">
      <x:c r="A11" s="78" t="str">
        <x:v>OBJ-0006</x:v>
      </x:c>
      <x:c r="B11" s="78"/>
      <x:c r="C11" s="78"/>
      <x:c r="D11" s="78"/>
      <x:c r="E11" s="90"/>
      <x:c r="F11" s="78"/>
      <x:c r="G11" s="84"/>
      <x:c r="H11" s="84"/>
      <x:c r="I11" s="90" t="str">
        <x:f>IF(OR(G11="",H11="",G11=0),"",H11/G11)</x:f>
      </x:c>
      <x:c r="J11" s="78"/>
      <x:c r="K11" s="78"/>
      <x:c r="L11" s="78"/>
    </x:row>
    <x:row r="12">
      <x:c r="A12" s="78" t="str">
        <x:v>OBJ-0007</x:v>
      </x:c>
      <x:c r="B12" s="78"/>
      <x:c r="C12" s="78"/>
      <x:c r="D12" s="78"/>
      <x:c r="E12" s="90"/>
      <x:c r="F12" s="78"/>
      <x:c r="G12" s="84"/>
      <x:c r="H12" s="84"/>
      <x:c r="I12" s="90" t="str">
        <x:f>IF(OR(G12="",H12="",G12=0),"",H12/G12)</x:f>
      </x:c>
      <x:c r="J12" s="78"/>
      <x:c r="K12" s="78"/>
      <x:c r="L12" s="78"/>
    </x:row>
    <x:row r="13">
      <x:c r="A13" s="78" t="str">
        <x:v>OBJ-0008</x:v>
      </x:c>
      <x:c r="B13" s="78"/>
      <x:c r="C13" s="78"/>
      <x:c r="D13" s="78"/>
      <x:c r="E13" s="90"/>
      <x:c r="F13" s="78"/>
      <x:c r="G13" s="84"/>
      <x:c r="H13" s="84"/>
      <x:c r="I13" s="90" t="str">
        <x:f>IF(OR(G13="",H13="",G13=0),"",H13/G13)</x:f>
      </x:c>
      <x:c r="J13" s="78"/>
      <x:c r="K13" s="78"/>
      <x:c r="L13" s="78"/>
    </x:row>
    <x:row r="14">
      <x:c r="A14" s="78" t="str">
        <x:v>OBJ-0009</x:v>
      </x:c>
      <x:c r="B14" s="78"/>
      <x:c r="C14" s="78"/>
      <x:c r="D14" s="78"/>
      <x:c r="E14" s="90"/>
      <x:c r="F14" s="78"/>
      <x:c r="G14" s="84"/>
      <x:c r="H14" s="84"/>
      <x:c r="I14" s="90" t="str">
        <x:f>IF(OR(G14="",H14="",G14=0),"",H14/G14)</x:f>
      </x:c>
      <x:c r="J14" s="78"/>
      <x:c r="K14" s="78"/>
      <x:c r="L14" s="78"/>
    </x:row>
    <x:row r="15">
      <x:c r="A15" s="78" t="str">
        <x:v>OBJ-0010</x:v>
      </x:c>
      <x:c r="B15" s="78"/>
      <x:c r="C15" s="78"/>
      <x:c r="D15" s="78"/>
      <x:c r="E15" s="90"/>
      <x:c r="F15" s="78"/>
      <x:c r="G15" s="84"/>
      <x:c r="H15" s="84"/>
      <x:c r="I15" s="90" t="str">
        <x:f>IF(OR(G15="",H15="",G15=0),"",H15/G15)</x:f>
      </x:c>
      <x:c r="J15" s="78"/>
      <x:c r="K15" s="78"/>
      <x:c r="L15" s="78"/>
    </x:row>
    <x:row r="16">
      <x:c r="A16" s="78" t="str">
        <x:v>OBJ-0011</x:v>
      </x:c>
      <x:c r="B16" s="78"/>
      <x:c r="C16" s="78"/>
      <x:c r="D16" s="78"/>
      <x:c r="E16" s="90"/>
      <x:c r="F16" s="78"/>
      <x:c r="G16" s="84"/>
      <x:c r="H16" s="84"/>
      <x:c r="I16" s="90" t="str">
        <x:f>IF(OR(G16="",H16="",G16=0),"",H16/G16)</x:f>
      </x:c>
      <x:c r="J16" s="78"/>
      <x:c r="K16" s="78"/>
      <x:c r="L16" s="78"/>
    </x:row>
    <x:row r="17">
      <x:c r="A17" s="78" t="str">
        <x:v>OBJ-0012</x:v>
      </x:c>
      <x:c r="B17" s="78"/>
      <x:c r="C17" s="78"/>
      <x:c r="D17" s="78"/>
      <x:c r="E17" s="90"/>
      <x:c r="F17" s="78"/>
      <x:c r="G17" s="84"/>
      <x:c r="H17" s="84"/>
      <x:c r="I17" s="90" t="str">
        <x:f>IF(OR(G17="",H17="",G17=0),"",H17/G17)</x:f>
      </x:c>
      <x:c r="J17" s="78"/>
      <x:c r="K17" s="78"/>
      <x:c r="L17" s="78"/>
    </x:row>
    <x:row r="18">
      <x:c r="A18" s="78" t="str">
        <x:v>OBJ-0013</x:v>
      </x:c>
      <x:c r="B18" s="78"/>
      <x:c r="C18" s="78"/>
      <x:c r="D18" s="78"/>
      <x:c r="E18" s="90"/>
      <x:c r="F18" s="78"/>
      <x:c r="G18" s="84"/>
      <x:c r="H18" s="84"/>
      <x:c r="I18" s="90" t="str">
        <x:f>IF(OR(G18="",H18="",G18=0),"",H18/G18)</x:f>
      </x:c>
      <x:c r="J18" s="78"/>
      <x:c r="K18" s="78"/>
      <x:c r="L18" s="78"/>
    </x:row>
    <x:row r="19">
      <x:c r="A19" s="78" t="str">
        <x:v>OBJ-0014</x:v>
      </x:c>
      <x:c r="B19" s="78"/>
      <x:c r="C19" s="78"/>
      <x:c r="D19" s="78"/>
      <x:c r="E19" s="90"/>
      <x:c r="F19" s="78"/>
      <x:c r="G19" s="84"/>
      <x:c r="H19" s="84"/>
      <x:c r="I19" s="90" t="str">
        <x:f>IF(OR(G19="",H19="",G19=0),"",H19/G19)</x:f>
      </x:c>
      <x:c r="J19" s="78"/>
      <x:c r="K19" s="78"/>
      <x:c r="L19" s="78"/>
    </x:row>
    <x:row r="20">
      <x:c r="A20" s="78" t="str">
        <x:v>OBJ-0015</x:v>
      </x:c>
      <x:c r="B20" s="78"/>
      <x:c r="C20" s="78"/>
      <x:c r="D20" s="78"/>
      <x:c r="E20" s="90"/>
      <x:c r="F20" s="78"/>
      <x:c r="G20" s="84"/>
      <x:c r="H20" s="84"/>
      <x:c r="I20" s="90" t="str">
        <x:f>IF(OR(G20="",H20="",G20=0),"",H20/G20)</x:f>
      </x:c>
      <x:c r="J20" s="78"/>
      <x:c r="K20" s="78"/>
      <x:c r="L20" s="78"/>
    </x:row>
    <x:row r="21">
      <x:c r="A21" s="78" t="str">
        <x:v>OBJ-0016</x:v>
      </x:c>
      <x:c r="B21" s="78"/>
      <x:c r="C21" s="78"/>
      <x:c r="D21" s="78"/>
      <x:c r="E21" s="90"/>
      <x:c r="F21" s="78"/>
      <x:c r="G21" s="84"/>
      <x:c r="H21" s="84"/>
      <x:c r="I21" s="90" t="str">
        <x:f>IF(OR(G21="",H21="",G21=0),"",H21/G21)</x:f>
      </x:c>
      <x:c r="J21" s="78"/>
      <x:c r="K21" s="78"/>
      <x:c r="L21" s="78"/>
    </x:row>
    <x:row r="22">
      <x:c r="A22" s="78" t="str">
        <x:v>OBJ-0017</x:v>
      </x:c>
      <x:c r="B22" s="78"/>
      <x:c r="C22" s="78"/>
      <x:c r="D22" s="78"/>
      <x:c r="E22" s="90"/>
      <x:c r="F22" s="78"/>
      <x:c r="G22" s="84"/>
      <x:c r="H22" s="84"/>
      <x:c r="I22" s="90" t="str">
        <x:f>IF(OR(G22="",H22="",G22=0),"",H22/G22)</x:f>
      </x:c>
      <x:c r="J22" s="78"/>
      <x:c r="K22" s="78"/>
      <x:c r="L22" s="78"/>
    </x:row>
    <x:row r="23">
      <x:c r="A23" s="78" t="str">
        <x:v>OBJ-0018</x:v>
      </x:c>
      <x:c r="B23" s="78"/>
      <x:c r="C23" s="78"/>
      <x:c r="D23" s="78"/>
      <x:c r="E23" s="90"/>
      <x:c r="F23" s="78"/>
      <x:c r="G23" s="84"/>
      <x:c r="H23" s="84"/>
      <x:c r="I23" s="90" t="str">
        <x:f>IF(OR(G23="",H23="",G23=0),"",H23/G23)</x:f>
      </x:c>
      <x:c r="J23" s="78"/>
      <x:c r="K23" s="78"/>
      <x:c r="L23" s="78"/>
    </x:row>
    <x:row r="24">
      <x:c r="A24" s="78" t="str">
        <x:v>OBJ-0019</x:v>
      </x:c>
      <x:c r="B24" s="78"/>
      <x:c r="C24" s="78"/>
      <x:c r="D24" s="78"/>
      <x:c r="E24" s="90"/>
      <x:c r="F24" s="78"/>
      <x:c r="G24" s="84"/>
      <x:c r="H24" s="84"/>
      <x:c r="I24" s="90" t="str">
        <x:f>IF(OR(G24="",H24="",G24=0),"",H24/G24)</x:f>
      </x:c>
      <x:c r="J24" s="78"/>
      <x:c r="K24" s="78"/>
      <x:c r="L24" s="78"/>
    </x:row>
    <x:row r="25">
      <x:c r="A25" s="78" t="str">
        <x:v>OBJ-0020</x:v>
      </x:c>
      <x:c r="B25" s="78"/>
      <x:c r="C25" s="78"/>
      <x:c r="D25" s="78"/>
      <x:c r="E25" s="90"/>
      <x:c r="F25" s="78"/>
      <x:c r="G25" s="84"/>
      <x:c r="H25" s="84"/>
      <x:c r="I25" s="90" t="str">
        <x:f>IF(OR(G25="",H25="",G25=0),"",H25/G25)</x:f>
      </x:c>
      <x:c r="J25" s="78"/>
      <x:c r="K25" s="78"/>
      <x:c r="L25" s="78"/>
    </x:row>
    <x:row r="26">
      <x:c r="A26" s="78" t="str">
        <x:v>OBJ-0021</x:v>
      </x:c>
      <x:c r="B26" s="78"/>
      <x:c r="C26" s="78"/>
      <x:c r="D26" s="78"/>
      <x:c r="E26" s="90"/>
      <x:c r="F26" s="78"/>
      <x:c r="G26" s="84"/>
      <x:c r="H26" s="84"/>
      <x:c r="I26" s="90" t="str">
        <x:f>IF(OR(G26="",H26="",G26=0),"",H26/G26)</x:f>
      </x:c>
      <x:c r="J26" s="78"/>
      <x:c r="K26" s="78"/>
      <x:c r="L26" s="78"/>
    </x:row>
    <x:row r="27">
      <x:c r="A27" s="78" t="str">
        <x:v>OBJ-0022</x:v>
      </x:c>
      <x:c r="B27" s="78"/>
      <x:c r="C27" s="78"/>
      <x:c r="D27" s="78"/>
      <x:c r="E27" s="90"/>
      <x:c r="F27" s="78"/>
      <x:c r="G27" s="84"/>
      <x:c r="H27" s="84"/>
      <x:c r="I27" s="90" t="str">
        <x:f>IF(OR(G27="",H27="",G27=0),"",H27/G27)</x:f>
      </x:c>
      <x:c r="J27" s="78"/>
      <x:c r="K27" s="78"/>
      <x:c r="L27" s="78"/>
    </x:row>
    <x:row r="28">
      <x:c r="A28" s="78" t="str">
        <x:v>OBJ-0023</x:v>
      </x:c>
      <x:c r="B28" s="78"/>
      <x:c r="C28" s="78"/>
      <x:c r="D28" s="78"/>
      <x:c r="E28" s="90"/>
      <x:c r="F28" s="78"/>
      <x:c r="G28" s="84"/>
      <x:c r="H28" s="84"/>
      <x:c r="I28" s="90" t="str">
        <x:f>IF(OR(G28="",H28="",G28=0),"",H28/G28)</x:f>
      </x:c>
      <x:c r="J28" s="78"/>
      <x:c r="K28" s="78"/>
      <x:c r="L28" s="78"/>
    </x:row>
    <x:row r="29">
      <x:c r="A29" s="78" t="str">
        <x:v>OBJ-0024</x:v>
      </x:c>
      <x:c r="B29" s="78"/>
      <x:c r="C29" s="78"/>
      <x:c r="D29" s="78"/>
      <x:c r="E29" s="90"/>
      <x:c r="F29" s="78"/>
      <x:c r="G29" s="84"/>
      <x:c r="H29" s="84"/>
      <x:c r="I29" s="90" t="str">
        <x:f>IF(OR(G29="",H29="",G29=0),"",H29/G29)</x:f>
      </x:c>
      <x:c r="J29" s="78"/>
      <x:c r="K29" s="78"/>
      <x:c r="L29" s="78"/>
    </x:row>
    <x:row r="30">
      <x:c r="A30" s="78" t="str">
        <x:v>OBJ-0025</x:v>
      </x:c>
      <x:c r="B30" s="78"/>
      <x:c r="C30" s="78"/>
      <x:c r="D30" s="78"/>
      <x:c r="E30" s="90"/>
      <x:c r="F30" s="78"/>
      <x:c r="G30" s="84"/>
      <x:c r="H30" s="84"/>
      <x:c r="I30" s="90" t="str">
        <x:f>IF(OR(G30="",H30="",G30=0),"",H30/G30)</x:f>
      </x:c>
      <x:c r="J30" s="78"/>
      <x:c r="K30" s="78"/>
      <x:c r="L30" s="78"/>
    </x:row>
    <x:row r="31">
      <x:c r="A31" s="78" t="str">
        <x:v>OBJ-0026</x:v>
      </x:c>
      <x:c r="B31" s="78"/>
      <x:c r="C31" s="78"/>
      <x:c r="D31" s="78"/>
      <x:c r="E31" s="90"/>
      <x:c r="F31" s="78"/>
      <x:c r="G31" s="84"/>
      <x:c r="H31" s="84"/>
      <x:c r="I31" s="90" t="str">
        <x:f>IF(OR(G31="",H31="",G31=0),"",H31/G31)</x:f>
      </x:c>
      <x:c r="J31" s="78"/>
      <x:c r="K31" s="78"/>
      <x:c r="L31" s="78"/>
    </x:row>
    <x:row r="32">
      <x:c r="A32" s="78" t="str">
        <x:v>OBJ-0027</x:v>
      </x:c>
      <x:c r="B32" s="78"/>
      <x:c r="C32" s="78"/>
      <x:c r="D32" s="78"/>
      <x:c r="E32" s="90"/>
      <x:c r="F32" s="78"/>
      <x:c r="G32" s="84"/>
      <x:c r="H32" s="84"/>
      <x:c r="I32" s="90" t="str">
        <x:f>IF(OR(G32="",H32="",G32=0),"",H32/G32)</x:f>
      </x:c>
      <x:c r="J32" s="78"/>
      <x:c r="K32" s="78"/>
      <x:c r="L32" s="78"/>
    </x:row>
    <x:row r="33">
      <x:c r="A33" s="78" t="str">
        <x:v>OBJ-0028</x:v>
      </x:c>
      <x:c r="B33" s="78"/>
      <x:c r="C33" s="78"/>
      <x:c r="D33" s="78"/>
      <x:c r="E33" s="90"/>
      <x:c r="F33" s="78"/>
      <x:c r="G33" s="84"/>
      <x:c r="H33" s="84"/>
      <x:c r="I33" s="90" t="str">
        <x:f>IF(OR(G33="",H33="",G33=0),"",H33/G33)</x:f>
      </x:c>
      <x:c r="J33" s="78"/>
      <x:c r="K33" s="78"/>
      <x:c r="L33" s="78"/>
    </x:row>
    <x:row r="34">
      <x:c r="A34" s="78" t="str">
        <x:v>OBJ-0029</x:v>
      </x:c>
      <x:c r="B34" s="78"/>
      <x:c r="C34" s="78"/>
      <x:c r="D34" s="78"/>
      <x:c r="E34" s="90"/>
      <x:c r="F34" s="78"/>
      <x:c r="G34" s="84"/>
      <x:c r="H34" s="84"/>
      <x:c r="I34" s="90" t="str">
        <x:f>IF(OR(G34="",H34="",G34=0),"",H34/G34)</x:f>
      </x:c>
      <x:c r="J34" s="78"/>
      <x:c r="K34" s="78"/>
      <x:c r="L34" s="78"/>
    </x:row>
    <x:row r="35">
      <x:c r="A35" s="78" t="str">
        <x:v>OBJ-0030</x:v>
      </x:c>
      <x:c r="B35" s="78"/>
      <x:c r="C35" s="78"/>
      <x:c r="D35" s="78"/>
      <x:c r="E35" s="90"/>
      <x:c r="F35" s="78"/>
      <x:c r="G35" s="84"/>
      <x:c r="H35" s="84"/>
      <x:c r="I35" s="90" t="str">
        <x:f>IF(OR(G35="",H35="",G35=0),"",H35/G35)</x:f>
      </x:c>
      <x:c r="J35" s="78"/>
      <x:c r="K35" s="78"/>
      <x:c r="L35" s="78"/>
    </x:row>
    <x:row r="36">
      <x:c r="A36" s="78" t="str">
        <x:v>OBJ-0031</x:v>
      </x:c>
      <x:c r="B36" s="78"/>
      <x:c r="C36" s="78"/>
      <x:c r="D36" s="78"/>
      <x:c r="E36" s="90"/>
      <x:c r="F36" s="78"/>
      <x:c r="G36" s="84"/>
      <x:c r="H36" s="84"/>
      <x:c r="I36" s="90" t="str">
        <x:f>IF(OR(G36="",H36="",G36=0),"",H36/G36)</x:f>
      </x:c>
      <x:c r="J36" s="78"/>
      <x:c r="K36" s="78"/>
      <x:c r="L36" s="78"/>
    </x:row>
    <x:row r="37">
      <x:c r="A37" s="78" t="str">
        <x:v>OBJ-0032</x:v>
      </x:c>
      <x:c r="B37" s="78"/>
      <x:c r="C37" s="78"/>
      <x:c r="D37" s="78"/>
      <x:c r="E37" s="90"/>
      <x:c r="F37" s="78"/>
      <x:c r="G37" s="84"/>
      <x:c r="H37" s="84"/>
      <x:c r="I37" s="90" t="str">
        <x:f>IF(OR(G37="",H37="",G37=0),"",H37/G37)</x:f>
      </x:c>
      <x:c r="J37" s="78"/>
      <x:c r="K37" s="78"/>
      <x:c r="L37" s="78"/>
    </x:row>
    <x:row r="38">
      <x:c r="A38" s="78" t="str">
        <x:v>OBJ-0033</x:v>
      </x:c>
      <x:c r="B38" s="78"/>
      <x:c r="C38" s="78"/>
      <x:c r="D38" s="78"/>
      <x:c r="E38" s="90"/>
      <x:c r="F38" s="78"/>
      <x:c r="G38" s="84"/>
      <x:c r="H38" s="84"/>
      <x:c r="I38" s="90" t="str">
        <x:f>IF(OR(G38="",H38="",G38=0),"",H38/G38)</x:f>
      </x:c>
      <x:c r="J38" s="78"/>
      <x:c r="K38" s="78"/>
      <x:c r="L38" s="78"/>
    </x:row>
    <x:row r="39">
      <x:c r="A39" s="78" t="str">
        <x:v>OBJ-0034</x:v>
      </x:c>
      <x:c r="B39" s="78"/>
      <x:c r="C39" s="78"/>
      <x:c r="D39" s="78"/>
      <x:c r="E39" s="90"/>
      <x:c r="F39" s="78"/>
      <x:c r="G39" s="84"/>
      <x:c r="H39" s="84"/>
      <x:c r="I39" s="90" t="str">
        <x:f>IF(OR(G39="",H39="",G39=0),"",H39/G39)</x:f>
      </x:c>
      <x:c r="J39" s="78"/>
      <x:c r="K39" s="78"/>
      <x:c r="L39" s="78"/>
    </x:row>
    <x:row r="40">
      <x:c r="A40" s="78" t="str">
        <x:v>OBJ-0035</x:v>
      </x:c>
      <x:c r="B40" s="78"/>
      <x:c r="C40" s="78"/>
      <x:c r="D40" s="78"/>
      <x:c r="E40" s="90"/>
      <x:c r="F40" s="78"/>
      <x:c r="G40" s="84"/>
      <x:c r="H40" s="84"/>
      <x:c r="I40" s="90" t="str">
        <x:f>IF(OR(G40="",H40="",G40=0),"",H40/G40)</x:f>
      </x:c>
      <x:c r="J40" s="78"/>
      <x:c r="K40" s="78"/>
      <x:c r="L40" s="78"/>
    </x:row>
    <x:row r="41">
      <x:c r="A41" s="78" t="str">
        <x:v>OBJ-0036</x:v>
      </x:c>
      <x:c r="B41" s="78"/>
      <x:c r="C41" s="78"/>
      <x:c r="D41" s="78"/>
      <x:c r="E41" s="90"/>
      <x:c r="F41" s="78"/>
      <x:c r="G41" s="84"/>
      <x:c r="H41" s="84"/>
      <x:c r="I41" s="90" t="str">
        <x:f>IF(OR(G41="",H41="",G41=0),"",H41/G41)</x:f>
      </x:c>
      <x:c r="J41" s="78"/>
      <x:c r="K41" s="78"/>
      <x:c r="L41" s="78"/>
    </x:row>
    <x:row r="42">
      <x:c r="A42" s="78" t="str">
        <x:v>OBJ-0037</x:v>
      </x:c>
      <x:c r="B42" s="78"/>
      <x:c r="C42" s="78"/>
      <x:c r="D42" s="78"/>
      <x:c r="E42" s="90"/>
      <x:c r="F42" s="78"/>
      <x:c r="G42" s="84"/>
      <x:c r="H42" s="84"/>
      <x:c r="I42" s="90" t="str">
        <x:f>IF(OR(G42="",H42="",G42=0),"",H42/G42)</x:f>
      </x:c>
      <x:c r="J42" s="78"/>
      <x:c r="K42" s="78"/>
      <x:c r="L42" s="78"/>
    </x:row>
    <x:row r="43">
      <x:c r="A43" s="78" t="str">
        <x:v>OBJ-0038</x:v>
      </x:c>
      <x:c r="B43" s="78"/>
      <x:c r="C43" s="78"/>
      <x:c r="D43" s="78"/>
      <x:c r="E43" s="90"/>
      <x:c r="F43" s="78"/>
      <x:c r="G43" s="84"/>
      <x:c r="H43" s="84"/>
      <x:c r="I43" s="90" t="str">
        <x:f>IF(OR(G43="",H43="",G43=0),"",H43/G43)</x:f>
      </x:c>
      <x:c r="J43" s="78"/>
      <x:c r="K43" s="78"/>
      <x:c r="L43" s="78"/>
    </x:row>
    <x:row r="44">
      <x:c r="A44" s="78" t="str">
        <x:v>OBJ-0039</x:v>
      </x:c>
      <x:c r="B44" s="78"/>
      <x:c r="C44" s="78"/>
      <x:c r="D44" s="78"/>
      <x:c r="E44" s="90"/>
      <x:c r="F44" s="78"/>
      <x:c r="G44" s="84"/>
      <x:c r="H44" s="84"/>
      <x:c r="I44" s="90" t="str">
        <x:f>IF(OR(G44="",H44="",G44=0),"",H44/G44)</x:f>
      </x:c>
      <x:c r="J44" s="78"/>
      <x:c r="K44" s="78"/>
      <x:c r="L44" s="78"/>
    </x:row>
    <x:row r="45">
      <x:c r="A45" s="78" t="str">
        <x:v>OBJ-0040</x:v>
      </x:c>
      <x:c r="B45" s="78"/>
      <x:c r="C45" s="78"/>
      <x:c r="D45" s="78"/>
      <x:c r="E45" s="90"/>
      <x:c r="F45" s="78"/>
      <x:c r="G45" s="84"/>
      <x:c r="H45" s="84"/>
      <x:c r="I45" s="90" t="str">
        <x:f>IF(OR(G45="",H45="",G45=0),"",H45/G45)</x:f>
      </x:c>
      <x:c r="J45" s="78"/>
      <x:c r="K45" s="78"/>
      <x:c r="L45" s="78"/>
    </x:row>
    <x:row r="46">
      <x:c r="A46" s="78" t="str">
        <x:v>OBJ-0041</x:v>
      </x:c>
      <x:c r="B46" s="78"/>
      <x:c r="C46" s="78"/>
      <x:c r="D46" s="78"/>
      <x:c r="E46" s="90"/>
      <x:c r="F46" s="78"/>
      <x:c r="G46" s="84"/>
      <x:c r="H46" s="84"/>
      <x:c r="I46" s="90" t="str">
        <x:f>IF(OR(G46="",H46="",G46=0),"",H46/G46)</x:f>
      </x:c>
      <x:c r="J46" s="78"/>
      <x:c r="K46" s="78"/>
      <x:c r="L46" s="78"/>
    </x:row>
    <x:row r="47">
      <x:c r="A47" s="78" t="str">
        <x:v>OBJ-0042</x:v>
      </x:c>
      <x:c r="B47" s="78"/>
      <x:c r="C47" s="78"/>
      <x:c r="D47" s="78"/>
      <x:c r="E47" s="90"/>
      <x:c r="F47" s="78"/>
      <x:c r="G47" s="84"/>
      <x:c r="H47" s="84"/>
      <x:c r="I47" s="90" t="str">
        <x:f>IF(OR(G47="",H47="",G47=0),"",H47/G47)</x:f>
      </x:c>
      <x:c r="J47" s="78"/>
      <x:c r="K47" s="78"/>
      <x:c r="L47" s="78"/>
    </x:row>
    <x:row r="48">
      <x:c r="A48" s="78" t="str">
        <x:v>OBJ-0043</x:v>
      </x:c>
      <x:c r="B48" s="78"/>
      <x:c r="C48" s="78"/>
      <x:c r="D48" s="78"/>
      <x:c r="E48" s="90"/>
      <x:c r="F48" s="78"/>
      <x:c r="G48" s="84"/>
      <x:c r="H48" s="84"/>
      <x:c r="I48" s="90" t="str">
        <x:f>IF(OR(G48="",H48="",G48=0),"",H48/G48)</x:f>
      </x:c>
      <x:c r="J48" s="78"/>
      <x:c r="K48" s="78"/>
      <x:c r="L48" s="78"/>
    </x:row>
    <x:row r="49">
      <x:c r="A49" s="78" t="str">
        <x:v>OBJ-0044</x:v>
      </x:c>
      <x:c r="B49" s="78"/>
      <x:c r="C49" s="78"/>
      <x:c r="D49" s="78"/>
      <x:c r="E49" s="90"/>
      <x:c r="F49" s="78"/>
      <x:c r="G49" s="84"/>
      <x:c r="H49" s="84"/>
      <x:c r="I49" s="90" t="str">
        <x:f>IF(OR(G49="",H49="",G49=0),"",H49/G49)</x:f>
      </x:c>
      <x:c r="J49" s="78"/>
      <x:c r="K49" s="78"/>
      <x:c r="L49" s="78"/>
    </x:row>
    <x:row r="50">
      <x:c r="A50" s="78" t="str">
        <x:v>OBJ-0045</x:v>
      </x:c>
      <x:c r="B50" s="78"/>
      <x:c r="C50" s="78"/>
      <x:c r="D50" s="78"/>
      <x:c r="E50" s="90"/>
      <x:c r="F50" s="78"/>
      <x:c r="G50" s="84"/>
      <x:c r="H50" s="84"/>
      <x:c r="I50" s="90" t="str">
        <x:f>IF(OR(G50="",H50="",G50=0),"",H50/G50)</x:f>
      </x:c>
      <x:c r="J50" s="78"/>
      <x:c r="K50" s="78"/>
      <x:c r="L50" s="78"/>
    </x:row>
    <x:row r="51">
      <x:c r="A51" s="78" t="str">
        <x:v>OBJ-0046</x:v>
      </x:c>
      <x:c r="B51" s="78"/>
      <x:c r="C51" s="78"/>
      <x:c r="D51" s="78"/>
      <x:c r="E51" s="90"/>
      <x:c r="F51" s="78"/>
      <x:c r="G51" s="84"/>
      <x:c r="H51" s="84"/>
      <x:c r="I51" s="90" t="str">
        <x:f>IF(OR(G51="",H51="",G51=0),"",H51/G51)</x:f>
      </x:c>
      <x:c r="J51" s="78"/>
      <x:c r="K51" s="78"/>
      <x:c r="L51" s="78"/>
    </x:row>
    <x:row r="52">
      <x:c r="A52" s="78" t="str">
        <x:v>OBJ-0047</x:v>
      </x:c>
      <x:c r="B52" s="78"/>
      <x:c r="C52" s="78"/>
      <x:c r="D52" s="78"/>
      <x:c r="E52" s="90"/>
      <x:c r="F52" s="78"/>
      <x:c r="G52" s="84"/>
      <x:c r="H52" s="84"/>
      <x:c r="I52" s="90" t="str">
        <x:f>IF(OR(G52="",H52="",G52=0),"",H52/G52)</x:f>
      </x:c>
      <x:c r="J52" s="78"/>
      <x:c r="K52" s="78"/>
      <x:c r="L52" s="78"/>
    </x:row>
    <x:row r="53">
      <x:c r="A53" s="78" t="str">
        <x:v>OBJ-0048</x:v>
      </x:c>
      <x:c r="B53" s="78"/>
      <x:c r="C53" s="78"/>
      <x:c r="D53" s="78"/>
      <x:c r="E53" s="90"/>
      <x:c r="F53" s="78"/>
      <x:c r="G53" s="84"/>
      <x:c r="H53" s="84"/>
      <x:c r="I53" s="90" t="str">
        <x:f>IF(OR(G53="",H53="",G53=0),"",H53/G53)</x:f>
      </x:c>
      <x:c r="J53" s="78"/>
      <x:c r="K53" s="78"/>
      <x:c r="L53" s="78"/>
    </x:row>
    <x:row r="54">
      <x:c r="A54" s="78" t="str">
        <x:v>OBJ-0049</x:v>
      </x:c>
      <x:c r="B54" s="78"/>
      <x:c r="C54" s="78"/>
      <x:c r="D54" s="78"/>
      <x:c r="E54" s="90"/>
      <x:c r="F54" s="78"/>
      <x:c r="G54" s="84"/>
      <x:c r="H54" s="84"/>
      <x:c r="I54" s="90" t="str">
        <x:f>IF(OR(G54="",H54="",G54=0),"",H54/G54)</x:f>
      </x:c>
      <x:c r="J54" s="78"/>
      <x:c r="K54" s="78"/>
      <x:c r="L54" s="78"/>
    </x:row>
    <x:row r="55">
      <x:c r="A55" s="79" t="str">
        <x:v>OBJ-0050</x:v>
      </x:c>
      <x:c r="B55" s="79"/>
      <x:c r="C55" s="79"/>
      <x:c r="D55" s="79"/>
      <x:c r="E55" s="91"/>
      <x:c r="F55" s="79"/>
      <x:c r="G55" s="85"/>
      <x:c r="H55" s="85"/>
      <x:c r="I55" s="91" t="str">
        <x:f>IF(OR(G55="",H55="",G55=0),"",H55/G55)</x:f>
      </x:c>
      <x:c r="J55" s="79"/>
      <x:c r="K55" s="79"/>
      <x:c r="L55" s="79"/>
    </x:row>
  </x:sheetData>
  <x:mergeCells>
    <x:mergeCell ref="A1:L1"/>
    <x:mergeCell ref="A2:L3"/>
  </x:mergeCells>
  <x:conditionalFormatting sqref="K6:K55">
    <x:cfRule type="containsText" dxfId="12" priority="1" operator="containsText" text="bereit"/>
    <x:cfRule type="containsText" dxfId="13" priority="2" operator="containsText" text="prüfen"/>
    <x:cfRule type="containsText" dxfId="14" priority="3" operator="containsText" text="nachfordern"/>
    <x:cfRule type="containsText" dxfId="15" priority="4" operator="containsText" text="nicht verarbeitet"/>
  </x:conditionalFormatting>
  <x:dataValidations count="1">
    <x:dataValidation type="list" sqref="K6:K55">
      <x:formula1>"bereit,prüfen,nachfordern,nicht verarbeitet"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dd07bd495ab467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8" hidden="0" customWidth="1"/>
    <x:col min="3" max="3" width="14" hidden="0" customWidth="1"/>
    <x:col min="4" max="4" width="30" hidden="0" customWidth="1"/>
    <x:col min="5" max="5" width="16" hidden="0" customWidth="1"/>
    <x:col min="6" max="6" width="16" hidden="0" customWidth="1"/>
    <x:col min="7" max="7" width="17" hidden="0" customWidth="1"/>
    <x:col min="8" max="8" width="18" hidden="0" customWidth="1"/>
    <x:col min="9" max="9" width="25" hidden="0" customWidth="1"/>
    <x:col min="10" max="10" width="38" hidden="0" customWidth="1"/>
  </x:cols>
  <x:sheetData>
    <x:row r="1" ht="30" customHeight="1">
      <x:c r="A1" s="3" t="str">
        <x:v>Vorjahresabgleich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18" t="str">
        <x:v>Vorjahreswerte nur als Erwartungs- und Plausibilitätsgerüst nutzen. Jede Position als fortgeführt, geändert, weggefallen, neu oder ungeklärt klassifizieren.</x:v>
      </x:c>
      <x:c r="B2" s="19"/>
      <x:c r="C2" s="19"/>
      <x:c r="D2" s="19"/>
      <x:c r="E2" s="19"/>
      <x:c r="F2" s="19"/>
      <x:c r="G2" s="19"/>
      <x:c r="H2" s="19"/>
      <x:c r="I2" s="19"/>
      <x:c r="J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3"/>
    </x:row>
    <x:row r="5" ht="32" customHeight="1">
      <x:c r="A5" s="69" t="str">
        <x:v>Abgleich-ID</x:v>
      </x:c>
      <x:c r="B5" s="69" t="str">
        <x:v>Person</x:v>
      </x:c>
      <x:c r="C5" s="69" t="str">
        <x:v>Objekt-ID</x:v>
      </x:c>
      <x:c r="D5" s="69" t="str">
        <x:v>Anlage/Sachverhalt</x:v>
      </x:c>
      <x:c r="E5" s="69" t="str">
        <x:v>Vorjahr EUR</x:v>
      </x:c>
      <x:c r="F5" s="69" t="str">
        <x:v>Aktuell EUR</x:v>
      </x:c>
      <x:c r="G5" s="69" t="str">
        <x:v>Abweichung EUR</x:v>
      </x:c>
      <x:c r="H5" s="69" t="str">
        <x:v>Klassifikation</x:v>
      </x:c>
      <x:c r="I5" s="69" t="str">
        <x:v>Quellen-/Positions-IDs</x:v>
      </x:c>
      <x:c r="J5" s="69" t="str">
        <x:v>Prüfhinweis</x:v>
      </x:c>
    </x:row>
    <x:row r="6">
      <x:c r="A6" s="77" t="str">
        <x:v>ABG-0001</x:v>
      </x:c>
      <x:c r="B6" s="77"/>
      <x:c r="C6" s="77"/>
      <x:c r="D6" s="77"/>
      <x:c r="E6" s="86"/>
      <x:c r="F6" s="86"/>
      <x:c r="G6" s="86" t="str">
        <x:f>IF(OR(E6="",F6=""),"",F6-E6)</x:f>
      </x:c>
      <x:c r="H6" s="77"/>
      <x:c r="I6" s="77"/>
      <x:c r="J6" s="77"/>
    </x:row>
    <x:row r="7">
      <x:c r="A7" s="78" t="str">
        <x:v>ABG-0002</x:v>
      </x:c>
      <x:c r="B7" s="78"/>
      <x:c r="C7" s="78"/>
      <x:c r="D7" s="78"/>
      <x:c r="E7" s="87"/>
      <x:c r="F7" s="87"/>
      <x:c r="G7" s="87" t="str">
        <x:f>IF(OR(E7="",F7=""),"",F7-E7)</x:f>
      </x:c>
      <x:c r="H7" s="78"/>
      <x:c r="I7" s="78"/>
      <x:c r="J7" s="78"/>
    </x:row>
    <x:row r="8">
      <x:c r="A8" s="78" t="str">
        <x:v>ABG-0003</x:v>
      </x:c>
      <x:c r="B8" s="78"/>
      <x:c r="C8" s="78"/>
      <x:c r="D8" s="78"/>
      <x:c r="E8" s="87"/>
      <x:c r="F8" s="87"/>
      <x:c r="G8" s="87" t="str">
        <x:f>IF(OR(E8="",F8=""),"",F8-E8)</x:f>
      </x:c>
      <x:c r="H8" s="78"/>
      <x:c r="I8" s="78"/>
      <x:c r="J8" s="78"/>
    </x:row>
    <x:row r="9">
      <x:c r="A9" s="78" t="str">
        <x:v>ABG-0004</x:v>
      </x:c>
      <x:c r="B9" s="78"/>
      <x:c r="C9" s="78"/>
      <x:c r="D9" s="78"/>
      <x:c r="E9" s="87"/>
      <x:c r="F9" s="87"/>
      <x:c r="G9" s="87" t="str">
        <x:f>IF(OR(E9="",F9=""),"",F9-E9)</x:f>
      </x:c>
      <x:c r="H9" s="78"/>
      <x:c r="I9" s="78"/>
      <x:c r="J9" s="78"/>
    </x:row>
    <x:row r="10">
      <x:c r="A10" s="78" t="str">
        <x:v>ABG-0005</x:v>
      </x:c>
      <x:c r="B10" s="78"/>
      <x:c r="C10" s="78"/>
      <x:c r="D10" s="78"/>
      <x:c r="E10" s="87"/>
      <x:c r="F10" s="87"/>
      <x:c r="G10" s="87" t="str">
        <x:f>IF(OR(E10="",F10=""),"",F10-E10)</x:f>
      </x:c>
      <x:c r="H10" s="78"/>
      <x:c r="I10" s="78"/>
      <x:c r="J10" s="78"/>
    </x:row>
    <x:row r="11">
      <x:c r="A11" s="78" t="str">
        <x:v>ABG-0006</x:v>
      </x:c>
      <x:c r="B11" s="78"/>
      <x:c r="C11" s="78"/>
      <x:c r="D11" s="78"/>
      <x:c r="E11" s="87"/>
      <x:c r="F11" s="87"/>
      <x:c r="G11" s="87" t="str">
        <x:f>IF(OR(E11="",F11=""),"",F11-E11)</x:f>
      </x:c>
      <x:c r="H11" s="78"/>
      <x:c r="I11" s="78"/>
      <x:c r="J11" s="78"/>
    </x:row>
    <x:row r="12">
      <x:c r="A12" s="78" t="str">
        <x:v>ABG-0007</x:v>
      </x:c>
      <x:c r="B12" s="78"/>
      <x:c r="C12" s="78"/>
      <x:c r="D12" s="78"/>
      <x:c r="E12" s="87"/>
      <x:c r="F12" s="87"/>
      <x:c r="G12" s="87" t="str">
        <x:f>IF(OR(E12="",F12=""),"",F12-E12)</x:f>
      </x:c>
      <x:c r="H12" s="78"/>
      <x:c r="I12" s="78"/>
      <x:c r="J12" s="78"/>
    </x:row>
    <x:row r="13">
      <x:c r="A13" s="78" t="str">
        <x:v>ABG-0008</x:v>
      </x:c>
      <x:c r="B13" s="78"/>
      <x:c r="C13" s="78"/>
      <x:c r="D13" s="78"/>
      <x:c r="E13" s="87"/>
      <x:c r="F13" s="87"/>
      <x:c r="G13" s="87" t="str">
        <x:f>IF(OR(E13="",F13=""),"",F13-E13)</x:f>
      </x:c>
      <x:c r="H13" s="78"/>
      <x:c r="I13" s="78"/>
      <x:c r="J13" s="78"/>
    </x:row>
    <x:row r="14">
      <x:c r="A14" s="78" t="str">
        <x:v>ABG-0009</x:v>
      </x:c>
      <x:c r="B14" s="78"/>
      <x:c r="C14" s="78"/>
      <x:c r="D14" s="78"/>
      <x:c r="E14" s="87"/>
      <x:c r="F14" s="87"/>
      <x:c r="G14" s="87" t="str">
        <x:f>IF(OR(E14="",F14=""),"",F14-E14)</x:f>
      </x:c>
      <x:c r="H14" s="78"/>
      <x:c r="I14" s="78"/>
      <x:c r="J14" s="78"/>
    </x:row>
    <x:row r="15">
      <x:c r="A15" s="78" t="str">
        <x:v>ABG-0010</x:v>
      </x:c>
      <x:c r="B15" s="78"/>
      <x:c r="C15" s="78"/>
      <x:c r="D15" s="78"/>
      <x:c r="E15" s="87"/>
      <x:c r="F15" s="87"/>
      <x:c r="G15" s="87" t="str">
        <x:f>IF(OR(E15="",F15=""),"",F15-E15)</x:f>
      </x:c>
      <x:c r="H15" s="78"/>
      <x:c r="I15" s="78"/>
      <x:c r="J15" s="78"/>
    </x:row>
    <x:row r="16">
      <x:c r="A16" s="78" t="str">
        <x:v>ABG-0011</x:v>
      </x:c>
      <x:c r="B16" s="78"/>
      <x:c r="C16" s="78"/>
      <x:c r="D16" s="78"/>
      <x:c r="E16" s="87"/>
      <x:c r="F16" s="87"/>
      <x:c r="G16" s="87" t="str">
        <x:f>IF(OR(E16="",F16=""),"",F16-E16)</x:f>
      </x:c>
      <x:c r="H16" s="78"/>
      <x:c r="I16" s="78"/>
      <x:c r="J16" s="78"/>
    </x:row>
    <x:row r="17">
      <x:c r="A17" s="78" t="str">
        <x:v>ABG-0012</x:v>
      </x:c>
      <x:c r="B17" s="78"/>
      <x:c r="C17" s="78"/>
      <x:c r="D17" s="78"/>
      <x:c r="E17" s="87"/>
      <x:c r="F17" s="87"/>
      <x:c r="G17" s="87" t="str">
        <x:f>IF(OR(E17="",F17=""),"",F17-E17)</x:f>
      </x:c>
      <x:c r="H17" s="78"/>
      <x:c r="I17" s="78"/>
      <x:c r="J17" s="78"/>
    </x:row>
    <x:row r="18">
      <x:c r="A18" s="78" t="str">
        <x:v>ABG-0013</x:v>
      </x:c>
      <x:c r="B18" s="78"/>
      <x:c r="C18" s="78"/>
      <x:c r="D18" s="78"/>
      <x:c r="E18" s="87"/>
      <x:c r="F18" s="87"/>
      <x:c r="G18" s="87" t="str">
        <x:f>IF(OR(E18="",F18=""),"",F18-E18)</x:f>
      </x:c>
      <x:c r="H18" s="78"/>
      <x:c r="I18" s="78"/>
      <x:c r="J18" s="78"/>
    </x:row>
    <x:row r="19">
      <x:c r="A19" s="78" t="str">
        <x:v>ABG-0014</x:v>
      </x:c>
      <x:c r="B19" s="78"/>
      <x:c r="C19" s="78"/>
      <x:c r="D19" s="78"/>
      <x:c r="E19" s="87"/>
      <x:c r="F19" s="87"/>
      <x:c r="G19" s="87" t="str">
        <x:f>IF(OR(E19="",F19=""),"",F19-E19)</x:f>
      </x:c>
      <x:c r="H19" s="78"/>
      <x:c r="I19" s="78"/>
      <x:c r="J19" s="78"/>
    </x:row>
    <x:row r="20">
      <x:c r="A20" s="78" t="str">
        <x:v>ABG-0015</x:v>
      </x:c>
      <x:c r="B20" s="78"/>
      <x:c r="C20" s="78"/>
      <x:c r="D20" s="78"/>
      <x:c r="E20" s="87"/>
      <x:c r="F20" s="87"/>
      <x:c r="G20" s="87" t="str">
        <x:f>IF(OR(E20="",F20=""),"",F20-E20)</x:f>
      </x:c>
      <x:c r="H20" s="78"/>
      <x:c r="I20" s="78"/>
      <x:c r="J20" s="78"/>
    </x:row>
    <x:row r="21">
      <x:c r="A21" s="78" t="str">
        <x:v>ABG-0016</x:v>
      </x:c>
      <x:c r="B21" s="78"/>
      <x:c r="C21" s="78"/>
      <x:c r="D21" s="78"/>
      <x:c r="E21" s="87"/>
      <x:c r="F21" s="87"/>
      <x:c r="G21" s="87" t="str">
        <x:f>IF(OR(E21="",F21=""),"",F21-E21)</x:f>
      </x:c>
      <x:c r="H21" s="78"/>
      <x:c r="I21" s="78"/>
      <x:c r="J21" s="78"/>
    </x:row>
    <x:row r="22">
      <x:c r="A22" s="78" t="str">
        <x:v>ABG-0017</x:v>
      </x:c>
      <x:c r="B22" s="78"/>
      <x:c r="C22" s="78"/>
      <x:c r="D22" s="78"/>
      <x:c r="E22" s="87"/>
      <x:c r="F22" s="87"/>
      <x:c r="G22" s="87" t="str">
        <x:f>IF(OR(E22="",F22=""),"",F22-E22)</x:f>
      </x:c>
      <x:c r="H22" s="78"/>
      <x:c r="I22" s="78"/>
      <x:c r="J22" s="78"/>
    </x:row>
    <x:row r="23">
      <x:c r="A23" s="78" t="str">
        <x:v>ABG-0018</x:v>
      </x:c>
      <x:c r="B23" s="78"/>
      <x:c r="C23" s="78"/>
      <x:c r="D23" s="78"/>
      <x:c r="E23" s="87"/>
      <x:c r="F23" s="87"/>
      <x:c r="G23" s="87" t="str">
        <x:f>IF(OR(E23="",F23=""),"",F23-E23)</x:f>
      </x:c>
      <x:c r="H23" s="78"/>
      <x:c r="I23" s="78"/>
      <x:c r="J23" s="78"/>
    </x:row>
    <x:row r="24">
      <x:c r="A24" s="78" t="str">
        <x:v>ABG-0019</x:v>
      </x:c>
      <x:c r="B24" s="78"/>
      <x:c r="C24" s="78"/>
      <x:c r="D24" s="78"/>
      <x:c r="E24" s="87"/>
      <x:c r="F24" s="87"/>
      <x:c r="G24" s="87" t="str">
        <x:f>IF(OR(E24="",F24=""),"",F24-E24)</x:f>
      </x:c>
      <x:c r="H24" s="78"/>
      <x:c r="I24" s="78"/>
      <x:c r="J24" s="78"/>
    </x:row>
    <x:row r="25">
      <x:c r="A25" s="78" t="str">
        <x:v>ABG-0020</x:v>
      </x:c>
      <x:c r="B25" s="78"/>
      <x:c r="C25" s="78"/>
      <x:c r="D25" s="78"/>
      <x:c r="E25" s="87"/>
      <x:c r="F25" s="87"/>
      <x:c r="G25" s="87" t="str">
        <x:f>IF(OR(E25="",F25=""),"",F25-E25)</x:f>
      </x:c>
      <x:c r="H25" s="78"/>
      <x:c r="I25" s="78"/>
      <x:c r="J25" s="78"/>
    </x:row>
    <x:row r="26">
      <x:c r="A26" s="78" t="str">
        <x:v>ABG-0021</x:v>
      </x:c>
      <x:c r="B26" s="78"/>
      <x:c r="C26" s="78"/>
      <x:c r="D26" s="78"/>
      <x:c r="E26" s="87"/>
      <x:c r="F26" s="87"/>
      <x:c r="G26" s="87" t="str">
        <x:f>IF(OR(E26="",F26=""),"",F26-E26)</x:f>
      </x:c>
      <x:c r="H26" s="78"/>
      <x:c r="I26" s="78"/>
      <x:c r="J26" s="78"/>
    </x:row>
    <x:row r="27">
      <x:c r="A27" s="78" t="str">
        <x:v>ABG-0022</x:v>
      </x:c>
      <x:c r="B27" s="78"/>
      <x:c r="C27" s="78"/>
      <x:c r="D27" s="78"/>
      <x:c r="E27" s="87"/>
      <x:c r="F27" s="87"/>
      <x:c r="G27" s="87" t="str">
        <x:f>IF(OR(E27="",F27=""),"",F27-E27)</x:f>
      </x:c>
      <x:c r="H27" s="78"/>
      <x:c r="I27" s="78"/>
      <x:c r="J27" s="78"/>
    </x:row>
    <x:row r="28">
      <x:c r="A28" s="78" t="str">
        <x:v>ABG-0023</x:v>
      </x:c>
      <x:c r="B28" s="78"/>
      <x:c r="C28" s="78"/>
      <x:c r="D28" s="78"/>
      <x:c r="E28" s="87"/>
      <x:c r="F28" s="87"/>
      <x:c r="G28" s="87" t="str">
        <x:f>IF(OR(E28="",F28=""),"",F28-E28)</x:f>
      </x:c>
      <x:c r="H28" s="78"/>
      <x:c r="I28" s="78"/>
      <x:c r="J28" s="78"/>
    </x:row>
    <x:row r="29">
      <x:c r="A29" s="78" t="str">
        <x:v>ABG-0024</x:v>
      </x:c>
      <x:c r="B29" s="78"/>
      <x:c r="C29" s="78"/>
      <x:c r="D29" s="78"/>
      <x:c r="E29" s="87"/>
      <x:c r="F29" s="87"/>
      <x:c r="G29" s="87" t="str">
        <x:f>IF(OR(E29="",F29=""),"",F29-E29)</x:f>
      </x:c>
      <x:c r="H29" s="78"/>
      <x:c r="I29" s="78"/>
      <x:c r="J29" s="78"/>
    </x:row>
    <x:row r="30">
      <x:c r="A30" s="78" t="str">
        <x:v>ABG-0025</x:v>
      </x:c>
      <x:c r="B30" s="78"/>
      <x:c r="C30" s="78"/>
      <x:c r="D30" s="78"/>
      <x:c r="E30" s="87"/>
      <x:c r="F30" s="87"/>
      <x:c r="G30" s="87" t="str">
        <x:f>IF(OR(E30="",F30=""),"",F30-E30)</x:f>
      </x:c>
      <x:c r="H30" s="78"/>
      <x:c r="I30" s="78"/>
      <x:c r="J30" s="78"/>
    </x:row>
    <x:row r="31">
      <x:c r="A31" s="78" t="str">
        <x:v>ABG-0026</x:v>
      </x:c>
      <x:c r="B31" s="78"/>
      <x:c r="C31" s="78"/>
      <x:c r="D31" s="78"/>
      <x:c r="E31" s="87"/>
      <x:c r="F31" s="87"/>
      <x:c r="G31" s="87" t="str">
        <x:f>IF(OR(E31="",F31=""),"",F31-E31)</x:f>
      </x:c>
      <x:c r="H31" s="78"/>
      <x:c r="I31" s="78"/>
      <x:c r="J31" s="78"/>
    </x:row>
    <x:row r="32">
      <x:c r="A32" s="78" t="str">
        <x:v>ABG-0027</x:v>
      </x:c>
      <x:c r="B32" s="78"/>
      <x:c r="C32" s="78"/>
      <x:c r="D32" s="78"/>
      <x:c r="E32" s="87"/>
      <x:c r="F32" s="87"/>
      <x:c r="G32" s="87" t="str">
        <x:f>IF(OR(E32="",F32=""),"",F32-E32)</x:f>
      </x:c>
      <x:c r="H32" s="78"/>
      <x:c r="I32" s="78"/>
      <x:c r="J32" s="78"/>
    </x:row>
    <x:row r="33">
      <x:c r="A33" s="78" t="str">
        <x:v>ABG-0028</x:v>
      </x:c>
      <x:c r="B33" s="78"/>
      <x:c r="C33" s="78"/>
      <x:c r="D33" s="78"/>
      <x:c r="E33" s="87"/>
      <x:c r="F33" s="87"/>
      <x:c r="G33" s="87" t="str">
        <x:f>IF(OR(E33="",F33=""),"",F33-E33)</x:f>
      </x:c>
      <x:c r="H33" s="78"/>
      <x:c r="I33" s="78"/>
      <x:c r="J33" s="78"/>
    </x:row>
    <x:row r="34">
      <x:c r="A34" s="78" t="str">
        <x:v>ABG-0029</x:v>
      </x:c>
      <x:c r="B34" s="78"/>
      <x:c r="C34" s="78"/>
      <x:c r="D34" s="78"/>
      <x:c r="E34" s="87"/>
      <x:c r="F34" s="87"/>
      <x:c r="G34" s="87" t="str">
        <x:f>IF(OR(E34="",F34=""),"",F34-E34)</x:f>
      </x:c>
      <x:c r="H34" s="78"/>
      <x:c r="I34" s="78"/>
      <x:c r="J34" s="78"/>
    </x:row>
    <x:row r="35">
      <x:c r="A35" s="78" t="str">
        <x:v>ABG-0030</x:v>
      </x:c>
      <x:c r="B35" s="78"/>
      <x:c r="C35" s="78"/>
      <x:c r="D35" s="78"/>
      <x:c r="E35" s="87"/>
      <x:c r="F35" s="87"/>
      <x:c r="G35" s="87" t="str">
        <x:f>IF(OR(E35="",F35=""),"",F35-E35)</x:f>
      </x:c>
      <x:c r="H35" s="78"/>
      <x:c r="I35" s="78"/>
      <x:c r="J35" s="78"/>
    </x:row>
    <x:row r="36">
      <x:c r="A36" s="78" t="str">
        <x:v>ABG-0031</x:v>
      </x:c>
      <x:c r="B36" s="78"/>
      <x:c r="C36" s="78"/>
      <x:c r="D36" s="78"/>
      <x:c r="E36" s="87"/>
      <x:c r="F36" s="87"/>
      <x:c r="G36" s="87" t="str">
        <x:f>IF(OR(E36="",F36=""),"",F36-E36)</x:f>
      </x:c>
      <x:c r="H36" s="78"/>
      <x:c r="I36" s="78"/>
      <x:c r="J36" s="78"/>
    </x:row>
    <x:row r="37">
      <x:c r="A37" s="78" t="str">
        <x:v>ABG-0032</x:v>
      </x:c>
      <x:c r="B37" s="78"/>
      <x:c r="C37" s="78"/>
      <x:c r="D37" s="78"/>
      <x:c r="E37" s="87"/>
      <x:c r="F37" s="87"/>
      <x:c r="G37" s="87" t="str">
        <x:f>IF(OR(E37="",F37=""),"",F37-E37)</x:f>
      </x:c>
      <x:c r="H37" s="78"/>
      <x:c r="I37" s="78"/>
      <x:c r="J37" s="78"/>
    </x:row>
    <x:row r="38">
      <x:c r="A38" s="78" t="str">
        <x:v>ABG-0033</x:v>
      </x:c>
      <x:c r="B38" s="78"/>
      <x:c r="C38" s="78"/>
      <x:c r="D38" s="78"/>
      <x:c r="E38" s="87"/>
      <x:c r="F38" s="87"/>
      <x:c r="G38" s="87" t="str">
        <x:f>IF(OR(E38="",F38=""),"",F38-E38)</x:f>
      </x:c>
      <x:c r="H38" s="78"/>
      <x:c r="I38" s="78"/>
      <x:c r="J38" s="78"/>
    </x:row>
    <x:row r="39">
      <x:c r="A39" s="78" t="str">
        <x:v>ABG-0034</x:v>
      </x:c>
      <x:c r="B39" s="78"/>
      <x:c r="C39" s="78"/>
      <x:c r="D39" s="78"/>
      <x:c r="E39" s="87"/>
      <x:c r="F39" s="87"/>
      <x:c r="G39" s="87" t="str">
        <x:f>IF(OR(E39="",F39=""),"",F39-E39)</x:f>
      </x:c>
      <x:c r="H39" s="78"/>
      <x:c r="I39" s="78"/>
      <x:c r="J39" s="78"/>
    </x:row>
    <x:row r="40">
      <x:c r="A40" s="78" t="str">
        <x:v>ABG-0035</x:v>
      </x:c>
      <x:c r="B40" s="78"/>
      <x:c r="C40" s="78"/>
      <x:c r="D40" s="78"/>
      <x:c r="E40" s="87"/>
      <x:c r="F40" s="87"/>
      <x:c r="G40" s="87" t="str">
        <x:f>IF(OR(E40="",F40=""),"",F40-E40)</x:f>
      </x:c>
      <x:c r="H40" s="78"/>
      <x:c r="I40" s="78"/>
      <x:c r="J40" s="78"/>
    </x:row>
    <x:row r="41">
      <x:c r="A41" s="78" t="str">
        <x:v>ABG-0036</x:v>
      </x:c>
      <x:c r="B41" s="78"/>
      <x:c r="C41" s="78"/>
      <x:c r="D41" s="78"/>
      <x:c r="E41" s="87"/>
      <x:c r="F41" s="87"/>
      <x:c r="G41" s="87" t="str">
        <x:f>IF(OR(E41="",F41=""),"",F41-E41)</x:f>
      </x:c>
      <x:c r="H41" s="78"/>
      <x:c r="I41" s="78"/>
      <x:c r="J41" s="78"/>
    </x:row>
    <x:row r="42">
      <x:c r="A42" s="78" t="str">
        <x:v>ABG-0037</x:v>
      </x:c>
      <x:c r="B42" s="78"/>
      <x:c r="C42" s="78"/>
      <x:c r="D42" s="78"/>
      <x:c r="E42" s="87"/>
      <x:c r="F42" s="87"/>
      <x:c r="G42" s="87" t="str">
        <x:f>IF(OR(E42="",F42=""),"",F42-E42)</x:f>
      </x:c>
      <x:c r="H42" s="78"/>
      <x:c r="I42" s="78"/>
      <x:c r="J42" s="78"/>
    </x:row>
    <x:row r="43">
      <x:c r="A43" s="78" t="str">
        <x:v>ABG-0038</x:v>
      </x:c>
      <x:c r="B43" s="78"/>
      <x:c r="C43" s="78"/>
      <x:c r="D43" s="78"/>
      <x:c r="E43" s="87"/>
      <x:c r="F43" s="87"/>
      <x:c r="G43" s="87" t="str">
        <x:f>IF(OR(E43="",F43=""),"",F43-E43)</x:f>
      </x:c>
      <x:c r="H43" s="78"/>
      <x:c r="I43" s="78"/>
      <x:c r="J43" s="78"/>
    </x:row>
    <x:row r="44">
      <x:c r="A44" s="78" t="str">
        <x:v>ABG-0039</x:v>
      </x:c>
      <x:c r="B44" s="78"/>
      <x:c r="C44" s="78"/>
      <x:c r="D44" s="78"/>
      <x:c r="E44" s="87"/>
      <x:c r="F44" s="87"/>
      <x:c r="G44" s="87" t="str">
        <x:f>IF(OR(E44="",F44=""),"",F44-E44)</x:f>
      </x:c>
      <x:c r="H44" s="78"/>
      <x:c r="I44" s="78"/>
      <x:c r="J44" s="78"/>
    </x:row>
    <x:row r="45">
      <x:c r="A45" s="78" t="str">
        <x:v>ABG-0040</x:v>
      </x:c>
      <x:c r="B45" s="78"/>
      <x:c r="C45" s="78"/>
      <x:c r="D45" s="78"/>
      <x:c r="E45" s="87"/>
      <x:c r="F45" s="87"/>
      <x:c r="G45" s="87" t="str">
        <x:f>IF(OR(E45="",F45=""),"",F45-E45)</x:f>
      </x:c>
      <x:c r="H45" s="78"/>
      <x:c r="I45" s="78"/>
      <x:c r="J45" s="78"/>
    </x:row>
    <x:row r="46">
      <x:c r="A46" s="78" t="str">
        <x:v>ABG-0041</x:v>
      </x:c>
      <x:c r="B46" s="78"/>
      <x:c r="C46" s="78"/>
      <x:c r="D46" s="78"/>
      <x:c r="E46" s="87"/>
      <x:c r="F46" s="87"/>
      <x:c r="G46" s="87" t="str">
        <x:f>IF(OR(E46="",F46=""),"",F46-E46)</x:f>
      </x:c>
      <x:c r="H46" s="78"/>
      <x:c r="I46" s="78"/>
      <x:c r="J46" s="78"/>
    </x:row>
    <x:row r="47">
      <x:c r="A47" s="78" t="str">
        <x:v>ABG-0042</x:v>
      </x:c>
      <x:c r="B47" s="78"/>
      <x:c r="C47" s="78"/>
      <x:c r="D47" s="78"/>
      <x:c r="E47" s="87"/>
      <x:c r="F47" s="87"/>
      <x:c r="G47" s="87" t="str">
        <x:f>IF(OR(E47="",F47=""),"",F47-E47)</x:f>
      </x:c>
      <x:c r="H47" s="78"/>
      <x:c r="I47" s="78"/>
      <x:c r="J47" s="78"/>
    </x:row>
    <x:row r="48">
      <x:c r="A48" s="78" t="str">
        <x:v>ABG-0043</x:v>
      </x:c>
      <x:c r="B48" s="78"/>
      <x:c r="C48" s="78"/>
      <x:c r="D48" s="78"/>
      <x:c r="E48" s="87"/>
      <x:c r="F48" s="87"/>
      <x:c r="G48" s="87" t="str">
        <x:f>IF(OR(E48="",F48=""),"",F48-E48)</x:f>
      </x:c>
      <x:c r="H48" s="78"/>
      <x:c r="I48" s="78"/>
      <x:c r="J48" s="78"/>
    </x:row>
    <x:row r="49">
      <x:c r="A49" s="78" t="str">
        <x:v>ABG-0044</x:v>
      </x:c>
      <x:c r="B49" s="78"/>
      <x:c r="C49" s="78"/>
      <x:c r="D49" s="78"/>
      <x:c r="E49" s="87"/>
      <x:c r="F49" s="87"/>
      <x:c r="G49" s="87" t="str">
        <x:f>IF(OR(E49="",F49=""),"",F49-E49)</x:f>
      </x:c>
      <x:c r="H49" s="78"/>
      <x:c r="I49" s="78"/>
      <x:c r="J49" s="78"/>
    </x:row>
    <x:row r="50">
      <x:c r="A50" s="78" t="str">
        <x:v>ABG-0045</x:v>
      </x:c>
      <x:c r="B50" s="78"/>
      <x:c r="C50" s="78"/>
      <x:c r="D50" s="78"/>
      <x:c r="E50" s="87"/>
      <x:c r="F50" s="87"/>
      <x:c r="G50" s="87" t="str">
        <x:f>IF(OR(E50="",F50=""),"",F50-E50)</x:f>
      </x:c>
      <x:c r="H50" s="78"/>
      <x:c r="I50" s="78"/>
      <x:c r="J50" s="78"/>
    </x:row>
    <x:row r="51">
      <x:c r="A51" s="78" t="str">
        <x:v>ABG-0046</x:v>
      </x:c>
      <x:c r="B51" s="78"/>
      <x:c r="C51" s="78"/>
      <x:c r="D51" s="78"/>
      <x:c r="E51" s="87"/>
      <x:c r="F51" s="87"/>
      <x:c r="G51" s="87" t="str">
        <x:f>IF(OR(E51="",F51=""),"",F51-E51)</x:f>
      </x:c>
      <x:c r="H51" s="78"/>
      <x:c r="I51" s="78"/>
      <x:c r="J51" s="78"/>
    </x:row>
    <x:row r="52">
      <x:c r="A52" s="78" t="str">
        <x:v>ABG-0047</x:v>
      </x:c>
      <x:c r="B52" s="78"/>
      <x:c r="C52" s="78"/>
      <x:c r="D52" s="78"/>
      <x:c r="E52" s="87"/>
      <x:c r="F52" s="87"/>
      <x:c r="G52" s="87" t="str">
        <x:f>IF(OR(E52="",F52=""),"",F52-E52)</x:f>
      </x:c>
      <x:c r="H52" s="78"/>
      <x:c r="I52" s="78"/>
      <x:c r="J52" s="78"/>
    </x:row>
    <x:row r="53">
      <x:c r="A53" s="78" t="str">
        <x:v>ABG-0048</x:v>
      </x:c>
      <x:c r="B53" s="78"/>
      <x:c r="C53" s="78"/>
      <x:c r="D53" s="78"/>
      <x:c r="E53" s="87"/>
      <x:c r="F53" s="87"/>
      <x:c r="G53" s="87" t="str">
        <x:f>IF(OR(E53="",F53=""),"",F53-E53)</x:f>
      </x:c>
      <x:c r="H53" s="78"/>
      <x:c r="I53" s="78"/>
      <x:c r="J53" s="78"/>
    </x:row>
    <x:row r="54">
      <x:c r="A54" s="78" t="str">
        <x:v>ABG-0049</x:v>
      </x:c>
      <x:c r="B54" s="78"/>
      <x:c r="C54" s="78"/>
      <x:c r="D54" s="78"/>
      <x:c r="E54" s="87"/>
      <x:c r="F54" s="87"/>
      <x:c r="G54" s="87" t="str">
        <x:f>IF(OR(E54="",F54=""),"",F54-E54)</x:f>
      </x:c>
      <x:c r="H54" s="78"/>
      <x:c r="I54" s="78"/>
      <x:c r="J54" s="78"/>
    </x:row>
    <x:row r="55">
      <x:c r="A55" s="79" t="str">
        <x:v>ABG-0050</x:v>
      </x:c>
      <x:c r="B55" s="79"/>
      <x:c r="C55" s="79"/>
      <x:c r="D55" s="79"/>
      <x:c r="E55" s="88"/>
      <x:c r="F55" s="88"/>
      <x:c r="G55" s="88" t="str">
        <x:f>IF(OR(E55="",F55=""),"",F55-E55)</x:f>
      </x:c>
      <x:c r="H55" s="79"/>
      <x:c r="I55" s="79"/>
      <x:c r="J55" s="79"/>
    </x:row>
  </x:sheetData>
  <x:mergeCells>
    <x:mergeCell ref="A1:J1"/>
    <x:mergeCell ref="A2:J3"/>
  </x:mergeCells>
  <x:dataValidations count="1">
    <x:dataValidation type="list" sqref="H6:H55">
      <x:formula1>"fortgeführt,geändert,weggefallen,neu,ungeklärt"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9c778028a36465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22" hidden="0" customWidth="1"/>
    <x:col min="4" max="4" width="38" hidden="0" customWidth="1"/>
    <x:col min="5" max="5" width="32" hidden="0" customWidth="1"/>
    <x:col min="6" max="6" width="34" hidden="0" customWidth="1"/>
    <x:col min="7" max="7" width="34" hidden="0" customWidth="1"/>
    <x:col min="8" max="8" width="12" hidden="0" customWidth="1"/>
    <x:col min="9" max="9" width="16" hidden="0" customWidth="1"/>
    <x:col min="10" max="10" width="32" hidden="0" customWidth="1"/>
  </x:cols>
  <x:sheetData>
    <x:row r="1" ht="30" customHeight="1">
      <x:c r="A1" s="3" t="str">
        <x:v>Prüf- und Nachforderungsprotokoll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18" t="str">
        <x:v>Jede offene Annahme oder fehlende Unterlage mit Auswirkung, vorläufiger Behandlung und konkreter nächster Handlung ausweisen.</x:v>
      </x:c>
      <x:c r="B2" s="19"/>
      <x:c r="C2" s="19"/>
      <x:c r="D2" s="19"/>
      <x:c r="E2" s="19"/>
      <x:c r="F2" s="19"/>
      <x:c r="G2" s="19"/>
      <x:c r="H2" s="19"/>
      <x:c r="I2" s="19"/>
      <x:c r="J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3"/>
    </x:row>
    <x:row r="5" ht="32" customHeight="1">
      <x:c r="A5" s="69" t="str">
        <x:v>Prüffall-ID</x:v>
      </x:c>
      <x:c r="B5" s="69" t="str">
        <x:v>Kategorie</x:v>
      </x:c>
      <x:c r="C5" s="69" t="str">
        <x:v>Betroffene IDs</x:v>
      </x:c>
      <x:c r="D5" s="69" t="str">
        <x:v>Sachverhalt</x:v>
      </x:c>
      <x:c r="E5" s="69" t="str">
        <x:v>Vorläufige Behandlung</x:v>
      </x:c>
      <x:c r="F5" s="69" t="str">
        <x:v>Fehlende Angabe/Unterlage</x:v>
      </x:c>
      <x:c r="G5" s="69" t="str">
        <x:v>Nächste Handlung</x:v>
      </x:c>
      <x:c r="H5" s="69" t="str">
        <x:v>Priorität</x:v>
      </x:c>
      <x:c r="I5" s="69" t="str">
        <x:v>Status</x:v>
      </x:c>
      <x:c r="J5" s="69" t="str">
        <x:v>Erledigungsnachweis</x:v>
      </x:c>
    </x:row>
    <x:row r="6">
      <x:c r="A6" s="77" t="str">
        <x:v>PRF-0001</x:v>
      </x:c>
      <x:c r="B6" s="77"/>
      <x:c r="C6" s="77"/>
      <x:c r="D6" s="77"/>
      <x:c r="E6" s="77"/>
      <x:c r="F6" s="77"/>
      <x:c r="G6" s="77"/>
      <x:c r="H6" s="77"/>
      <x:c r="I6" s="77"/>
      <x:c r="J6" s="77"/>
    </x:row>
    <x:row r="7">
      <x:c r="A7" s="78" t="str">
        <x:v>PRF-0002</x:v>
      </x:c>
      <x:c r="B7" s="78"/>
      <x:c r="C7" s="78"/>
      <x:c r="D7" s="78"/>
      <x:c r="E7" s="78"/>
      <x:c r="F7" s="78"/>
      <x:c r="G7" s="78"/>
      <x:c r="H7" s="78"/>
      <x:c r="I7" s="78"/>
      <x:c r="J7" s="78"/>
    </x:row>
    <x:row r="8">
      <x:c r="A8" s="78" t="str">
        <x:v>PRF-0003</x:v>
      </x:c>
      <x:c r="B8" s="78"/>
      <x:c r="C8" s="78"/>
      <x:c r="D8" s="78"/>
      <x:c r="E8" s="78"/>
      <x:c r="F8" s="78"/>
      <x:c r="G8" s="78"/>
      <x:c r="H8" s="78"/>
      <x:c r="I8" s="78"/>
      <x:c r="J8" s="78"/>
    </x:row>
    <x:row r="9">
      <x:c r="A9" s="78" t="str">
        <x:v>PRF-0004</x:v>
      </x:c>
      <x:c r="B9" s="78"/>
      <x:c r="C9" s="78"/>
      <x:c r="D9" s="78"/>
      <x:c r="E9" s="78"/>
      <x:c r="F9" s="78"/>
      <x:c r="G9" s="78"/>
      <x:c r="H9" s="78"/>
      <x:c r="I9" s="78"/>
      <x:c r="J9" s="78"/>
    </x:row>
    <x:row r="10">
      <x:c r="A10" s="78" t="str">
        <x:v>PRF-0005</x:v>
      </x:c>
      <x:c r="B10" s="78"/>
      <x:c r="C10" s="78"/>
      <x:c r="D10" s="78"/>
      <x:c r="E10" s="78"/>
      <x:c r="F10" s="78"/>
      <x:c r="G10" s="78"/>
      <x:c r="H10" s="78"/>
      <x:c r="I10" s="78"/>
      <x:c r="J10" s="78"/>
    </x:row>
    <x:row r="11">
      <x:c r="A11" s="78" t="str">
        <x:v>PRF-0006</x:v>
      </x:c>
      <x:c r="B11" s="78"/>
      <x:c r="C11" s="78"/>
      <x:c r="D11" s="78"/>
      <x:c r="E11" s="78"/>
      <x:c r="F11" s="78"/>
      <x:c r="G11" s="78"/>
      <x:c r="H11" s="78"/>
      <x:c r="I11" s="78"/>
      <x:c r="J11" s="78"/>
    </x:row>
    <x:row r="12">
      <x:c r="A12" s="78" t="str">
        <x:v>PRF-0007</x:v>
      </x:c>
      <x:c r="B12" s="78"/>
      <x:c r="C12" s="78"/>
      <x:c r="D12" s="78"/>
      <x:c r="E12" s="78"/>
      <x:c r="F12" s="78"/>
      <x:c r="G12" s="78"/>
      <x:c r="H12" s="78"/>
      <x:c r="I12" s="78"/>
      <x:c r="J12" s="78"/>
    </x:row>
    <x:row r="13">
      <x:c r="A13" s="78" t="str">
        <x:v>PRF-0008</x:v>
      </x:c>
      <x:c r="B13" s="78"/>
      <x:c r="C13" s="78"/>
      <x:c r="D13" s="78"/>
      <x:c r="E13" s="78"/>
      <x:c r="F13" s="78"/>
      <x:c r="G13" s="78"/>
      <x:c r="H13" s="78"/>
      <x:c r="I13" s="78"/>
      <x:c r="J13" s="78"/>
    </x:row>
    <x:row r="14">
      <x:c r="A14" s="78" t="str">
        <x:v>PRF-0009</x:v>
      </x:c>
      <x:c r="B14" s="78"/>
      <x:c r="C14" s="78"/>
      <x:c r="D14" s="78"/>
      <x:c r="E14" s="78"/>
      <x:c r="F14" s="78"/>
      <x:c r="G14" s="78"/>
      <x:c r="H14" s="78"/>
      <x:c r="I14" s="78"/>
      <x:c r="J14" s="78"/>
    </x:row>
    <x:row r="15">
      <x:c r="A15" s="78" t="str">
        <x:v>PRF-0010</x:v>
      </x:c>
      <x:c r="B15" s="78"/>
      <x:c r="C15" s="78"/>
      <x:c r="D15" s="78"/>
      <x:c r="E15" s="78"/>
      <x:c r="F15" s="78"/>
      <x:c r="G15" s="78"/>
      <x:c r="H15" s="78"/>
      <x:c r="I15" s="78"/>
      <x:c r="J15" s="78"/>
    </x:row>
    <x:row r="16">
      <x:c r="A16" s="78" t="str">
        <x:v>PRF-0011</x:v>
      </x:c>
      <x:c r="B16" s="78"/>
      <x:c r="C16" s="78"/>
      <x:c r="D16" s="78"/>
      <x:c r="E16" s="78"/>
      <x:c r="F16" s="78"/>
      <x:c r="G16" s="78"/>
      <x:c r="H16" s="78"/>
      <x:c r="I16" s="78"/>
      <x:c r="J16" s="78"/>
    </x:row>
    <x:row r="17">
      <x:c r="A17" s="78" t="str">
        <x:v>PRF-0012</x:v>
      </x:c>
      <x:c r="B17" s="78"/>
      <x:c r="C17" s="78"/>
      <x:c r="D17" s="78"/>
      <x:c r="E17" s="78"/>
      <x:c r="F17" s="78"/>
      <x:c r="G17" s="78"/>
      <x:c r="H17" s="78"/>
      <x:c r="I17" s="78"/>
      <x:c r="J17" s="78"/>
    </x:row>
    <x:row r="18">
      <x:c r="A18" s="78" t="str">
        <x:v>PRF-0013</x:v>
      </x:c>
      <x:c r="B18" s="78"/>
      <x:c r="C18" s="78"/>
      <x:c r="D18" s="78"/>
      <x:c r="E18" s="78"/>
      <x:c r="F18" s="78"/>
      <x:c r="G18" s="78"/>
      <x:c r="H18" s="78"/>
      <x:c r="I18" s="78"/>
      <x:c r="J18" s="78"/>
    </x:row>
    <x:row r="19">
      <x:c r="A19" s="78" t="str">
        <x:v>PRF-0014</x:v>
      </x:c>
      <x:c r="B19" s="78"/>
      <x:c r="C19" s="78"/>
      <x:c r="D19" s="78"/>
      <x:c r="E19" s="78"/>
      <x:c r="F19" s="78"/>
      <x:c r="G19" s="78"/>
      <x:c r="H19" s="78"/>
      <x:c r="I19" s="78"/>
      <x:c r="J19" s="78"/>
    </x:row>
    <x:row r="20">
      <x:c r="A20" s="78" t="str">
        <x:v>PRF-0015</x:v>
      </x:c>
      <x:c r="B20" s="78"/>
      <x:c r="C20" s="78"/>
      <x:c r="D20" s="78"/>
      <x:c r="E20" s="78"/>
      <x:c r="F20" s="78"/>
      <x:c r="G20" s="78"/>
      <x:c r="H20" s="78"/>
      <x:c r="I20" s="78"/>
      <x:c r="J20" s="78"/>
    </x:row>
    <x:row r="21">
      <x:c r="A21" s="78" t="str">
        <x:v>PRF-0016</x:v>
      </x:c>
      <x:c r="B21" s="78"/>
      <x:c r="C21" s="78"/>
      <x:c r="D21" s="78"/>
      <x:c r="E21" s="78"/>
      <x:c r="F21" s="78"/>
      <x:c r="G21" s="78"/>
      <x:c r="H21" s="78"/>
      <x:c r="I21" s="78"/>
      <x:c r="J21" s="78"/>
    </x:row>
    <x:row r="22">
      <x:c r="A22" s="78" t="str">
        <x:v>PRF-0017</x:v>
      </x:c>
      <x:c r="B22" s="78"/>
      <x:c r="C22" s="78"/>
      <x:c r="D22" s="78"/>
      <x:c r="E22" s="78"/>
      <x:c r="F22" s="78"/>
      <x:c r="G22" s="78"/>
      <x:c r="H22" s="78"/>
      <x:c r="I22" s="78"/>
      <x:c r="J22" s="78"/>
    </x:row>
    <x:row r="23">
      <x:c r="A23" s="78" t="str">
        <x:v>PRF-0018</x:v>
      </x:c>
      <x:c r="B23" s="78"/>
      <x:c r="C23" s="78"/>
      <x:c r="D23" s="78"/>
      <x:c r="E23" s="78"/>
      <x:c r="F23" s="78"/>
      <x:c r="G23" s="78"/>
      <x:c r="H23" s="78"/>
      <x:c r="I23" s="78"/>
      <x:c r="J23" s="78"/>
    </x:row>
    <x:row r="24">
      <x:c r="A24" s="78" t="str">
        <x:v>PRF-0019</x:v>
      </x:c>
      <x:c r="B24" s="78"/>
      <x:c r="C24" s="78"/>
      <x:c r="D24" s="78"/>
      <x:c r="E24" s="78"/>
      <x:c r="F24" s="78"/>
      <x:c r="G24" s="78"/>
      <x:c r="H24" s="78"/>
      <x:c r="I24" s="78"/>
      <x:c r="J24" s="78"/>
    </x:row>
    <x:row r="25">
      <x:c r="A25" s="78" t="str">
        <x:v>PRF-0020</x:v>
      </x:c>
      <x:c r="B25" s="78"/>
      <x:c r="C25" s="78"/>
      <x:c r="D25" s="78"/>
      <x:c r="E25" s="78"/>
      <x:c r="F25" s="78"/>
      <x:c r="G25" s="78"/>
      <x:c r="H25" s="78"/>
      <x:c r="I25" s="78"/>
      <x:c r="J25" s="78"/>
    </x:row>
    <x:row r="26">
      <x:c r="A26" s="78" t="str">
        <x:v>PRF-0021</x:v>
      </x:c>
      <x:c r="B26" s="78"/>
      <x:c r="C26" s="78"/>
      <x:c r="D26" s="78"/>
      <x:c r="E26" s="78"/>
      <x:c r="F26" s="78"/>
      <x:c r="G26" s="78"/>
      <x:c r="H26" s="78"/>
      <x:c r="I26" s="78"/>
      <x:c r="J26" s="78"/>
    </x:row>
    <x:row r="27">
      <x:c r="A27" s="78" t="str">
        <x:v>PRF-0022</x:v>
      </x:c>
      <x:c r="B27" s="78"/>
      <x:c r="C27" s="78"/>
      <x:c r="D27" s="78"/>
      <x:c r="E27" s="78"/>
      <x:c r="F27" s="78"/>
      <x:c r="G27" s="78"/>
      <x:c r="H27" s="78"/>
      <x:c r="I27" s="78"/>
      <x:c r="J27" s="78"/>
    </x:row>
    <x:row r="28">
      <x:c r="A28" s="78" t="str">
        <x:v>PRF-0023</x:v>
      </x:c>
      <x:c r="B28" s="78"/>
      <x:c r="C28" s="78"/>
      <x:c r="D28" s="78"/>
      <x:c r="E28" s="78"/>
      <x:c r="F28" s="78"/>
      <x:c r="G28" s="78"/>
      <x:c r="H28" s="78"/>
      <x:c r="I28" s="78"/>
      <x:c r="J28" s="78"/>
    </x:row>
    <x:row r="29">
      <x:c r="A29" s="78" t="str">
        <x:v>PRF-0024</x:v>
      </x:c>
      <x:c r="B29" s="78"/>
      <x:c r="C29" s="78"/>
      <x:c r="D29" s="78"/>
      <x:c r="E29" s="78"/>
      <x:c r="F29" s="78"/>
      <x:c r="G29" s="78"/>
      <x:c r="H29" s="78"/>
      <x:c r="I29" s="78"/>
      <x:c r="J29" s="78"/>
    </x:row>
    <x:row r="30">
      <x:c r="A30" s="78" t="str">
        <x:v>PRF-0025</x:v>
      </x:c>
      <x:c r="B30" s="78"/>
      <x:c r="C30" s="78"/>
      <x:c r="D30" s="78"/>
      <x:c r="E30" s="78"/>
      <x:c r="F30" s="78"/>
      <x:c r="G30" s="78"/>
      <x:c r="H30" s="78"/>
      <x:c r="I30" s="78"/>
      <x:c r="J30" s="78"/>
    </x:row>
    <x:row r="31">
      <x:c r="A31" s="78" t="str">
        <x:v>PRF-0026</x:v>
      </x:c>
      <x:c r="B31" s="78"/>
      <x:c r="C31" s="78"/>
      <x:c r="D31" s="78"/>
      <x:c r="E31" s="78"/>
      <x:c r="F31" s="78"/>
      <x:c r="G31" s="78"/>
      <x:c r="H31" s="78"/>
      <x:c r="I31" s="78"/>
      <x:c r="J31" s="78"/>
    </x:row>
    <x:row r="32">
      <x:c r="A32" s="78" t="str">
        <x:v>PRF-0027</x:v>
      </x:c>
      <x:c r="B32" s="78"/>
      <x:c r="C32" s="78"/>
      <x:c r="D32" s="78"/>
      <x:c r="E32" s="78"/>
      <x:c r="F32" s="78"/>
      <x:c r="G32" s="78"/>
      <x:c r="H32" s="78"/>
      <x:c r="I32" s="78"/>
      <x:c r="J32" s="78"/>
    </x:row>
    <x:row r="33">
      <x:c r="A33" s="78" t="str">
        <x:v>PRF-0028</x:v>
      </x:c>
      <x:c r="B33" s="78"/>
      <x:c r="C33" s="78"/>
      <x:c r="D33" s="78"/>
      <x:c r="E33" s="78"/>
      <x:c r="F33" s="78"/>
      <x:c r="G33" s="78"/>
      <x:c r="H33" s="78"/>
      <x:c r="I33" s="78"/>
      <x:c r="J33" s="78"/>
    </x:row>
    <x:row r="34">
      <x:c r="A34" s="78" t="str">
        <x:v>PRF-0029</x:v>
      </x:c>
      <x:c r="B34" s="78"/>
      <x:c r="C34" s="78"/>
      <x:c r="D34" s="78"/>
      <x:c r="E34" s="78"/>
      <x:c r="F34" s="78"/>
      <x:c r="G34" s="78"/>
      <x:c r="H34" s="78"/>
      <x:c r="I34" s="78"/>
      <x:c r="J34" s="78"/>
    </x:row>
    <x:row r="35">
      <x:c r="A35" s="78" t="str">
        <x:v>PRF-0030</x:v>
      </x:c>
      <x:c r="B35" s="78"/>
      <x:c r="C35" s="78"/>
      <x:c r="D35" s="78"/>
      <x:c r="E35" s="78"/>
      <x:c r="F35" s="78"/>
      <x:c r="G35" s="78"/>
      <x:c r="H35" s="78"/>
      <x:c r="I35" s="78"/>
      <x:c r="J35" s="78"/>
    </x:row>
    <x:row r="36">
      <x:c r="A36" s="78" t="str">
        <x:v>PRF-0031</x:v>
      </x:c>
      <x:c r="B36" s="78"/>
      <x:c r="C36" s="78"/>
      <x:c r="D36" s="78"/>
      <x:c r="E36" s="78"/>
      <x:c r="F36" s="78"/>
      <x:c r="G36" s="78"/>
      <x:c r="H36" s="78"/>
      <x:c r="I36" s="78"/>
      <x:c r="J36" s="78"/>
    </x:row>
    <x:row r="37">
      <x:c r="A37" s="78" t="str">
        <x:v>PRF-0032</x:v>
      </x:c>
      <x:c r="B37" s="78"/>
      <x:c r="C37" s="78"/>
      <x:c r="D37" s="78"/>
      <x:c r="E37" s="78"/>
      <x:c r="F37" s="78"/>
      <x:c r="G37" s="78"/>
      <x:c r="H37" s="78"/>
      <x:c r="I37" s="78"/>
      <x:c r="J37" s="78"/>
    </x:row>
    <x:row r="38">
      <x:c r="A38" s="78" t="str">
        <x:v>PRF-0033</x:v>
      </x:c>
      <x:c r="B38" s="78"/>
      <x:c r="C38" s="78"/>
      <x:c r="D38" s="78"/>
      <x:c r="E38" s="78"/>
      <x:c r="F38" s="78"/>
      <x:c r="G38" s="78"/>
      <x:c r="H38" s="78"/>
      <x:c r="I38" s="78"/>
      <x:c r="J38" s="78"/>
    </x:row>
    <x:row r="39">
      <x:c r="A39" s="78" t="str">
        <x:v>PRF-0034</x:v>
      </x:c>
      <x:c r="B39" s="78"/>
      <x:c r="C39" s="78"/>
      <x:c r="D39" s="78"/>
      <x:c r="E39" s="78"/>
      <x:c r="F39" s="78"/>
      <x:c r="G39" s="78"/>
      <x:c r="H39" s="78"/>
      <x:c r="I39" s="78"/>
      <x:c r="J39" s="78"/>
    </x:row>
    <x:row r="40">
      <x:c r="A40" s="78" t="str">
        <x:v>PRF-0035</x:v>
      </x:c>
      <x:c r="B40" s="78"/>
      <x:c r="C40" s="78"/>
      <x:c r="D40" s="78"/>
      <x:c r="E40" s="78"/>
      <x:c r="F40" s="78"/>
      <x:c r="G40" s="78"/>
      <x:c r="H40" s="78"/>
      <x:c r="I40" s="78"/>
      <x:c r="J40" s="78"/>
    </x:row>
    <x:row r="41">
      <x:c r="A41" s="78" t="str">
        <x:v>PRF-0036</x:v>
      </x:c>
      <x:c r="B41" s="78"/>
      <x:c r="C41" s="78"/>
      <x:c r="D41" s="78"/>
      <x:c r="E41" s="78"/>
      <x:c r="F41" s="78"/>
      <x:c r="G41" s="78"/>
      <x:c r="H41" s="78"/>
      <x:c r="I41" s="78"/>
      <x:c r="J41" s="78"/>
    </x:row>
    <x:row r="42">
      <x:c r="A42" s="78" t="str">
        <x:v>PRF-0037</x:v>
      </x:c>
      <x:c r="B42" s="78"/>
      <x:c r="C42" s="78"/>
      <x:c r="D42" s="78"/>
      <x:c r="E42" s="78"/>
      <x:c r="F42" s="78"/>
      <x:c r="G42" s="78"/>
      <x:c r="H42" s="78"/>
      <x:c r="I42" s="78"/>
      <x:c r="J42" s="78"/>
    </x:row>
    <x:row r="43">
      <x:c r="A43" s="78" t="str">
        <x:v>PRF-0038</x:v>
      </x:c>
      <x:c r="B43" s="78"/>
      <x:c r="C43" s="78"/>
      <x:c r="D43" s="78"/>
      <x:c r="E43" s="78"/>
      <x:c r="F43" s="78"/>
      <x:c r="G43" s="78"/>
      <x:c r="H43" s="78"/>
      <x:c r="I43" s="78"/>
      <x:c r="J43" s="78"/>
    </x:row>
    <x:row r="44">
      <x:c r="A44" s="78" t="str">
        <x:v>PRF-0039</x:v>
      </x:c>
      <x:c r="B44" s="78"/>
      <x:c r="C44" s="78"/>
      <x:c r="D44" s="78"/>
      <x:c r="E44" s="78"/>
      <x:c r="F44" s="78"/>
      <x:c r="G44" s="78"/>
      <x:c r="H44" s="78"/>
      <x:c r="I44" s="78"/>
      <x:c r="J44" s="78"/>
    </x:row>
    <x:row r="45">
      <x:c r="A45" s="78" t="str">
        <x:v>PRF-0040</x:v>
      </x:c>
      <x:c r="B45" s="78"/>
      <x:c r="C45" s="78"/>
      <x:c r="D45" s="78"/>
      <x:c r="E45" s="78"/>
      <x:c r="F45" s="78"/>
      <x:c r="G45" s="78"/>
      <x:c r="H45" s="78"/>
      <x:c r="I45" s="78"/>
      <x:c r="J45" s="78"/>
    </x:row>
    <x:row r="46">
      <x:c r="A46" s="78" t="str">
        <x:v>PRF-0041</x:v>
      </x:c>
      <x:c r="B46" s="78"/>
      <x:c r="C46" s="78"/>
      <x:c r="D46" s="78"/>
      <x:c r="E46" s="78"/>
      <x:c r="F46" s="78"/>
      <x:c r="G46" s="78"/>
      <x:c r="H46" s="78"/>
      <x:c r="I46" s="78"/>
      <x:c r="J46" s="78"/>
    </x:row>
    <x:row r="47">
      <x:c r="A47" s="78" t="str">
        <x:v>PRF-0042</x:v>
      </x:c>
      <x:c r="B47" s="78"/>
      <x:c r="C47" s="78"/>
      <x:c r="D47" s="78"/>
      <x:c r="E47" s="78"/>
      <x:c r="F47" s="78"/>
      <x:c r="G47" s="78"/>
      <x:c r="H47" s="78"/>
      <x:c r="I47" s="78"/>
      <x:c r="J47" s="78"/>
    </x:row>
    <x:row r="48">
      <x:c r="A48" s="78" t="str">
        <x:v>PRF-0043</x:v>
      </x:c>
      <x:c r="B48" s="78"/>
      <x:c r="C48" s="78"/>
      <x:c r="D48" s="78"/>
      <x:c r="E48" s="78"/>
      <x:c r="F48" s="78"/>
      <x:c r="G48" s="78"/>
      <x:c r="H48" s="78"/>
      <x:c r="I48" s="78"/>
      <x:c r="J48" s="78"/>
    </x:row>
    <x:row r="49">
      <x:c r="A49" s="78" t="str">
        <x:v>PRF-0044</x:v>
      </x:c>
      <x:c r="B49" s="78"/>
      <x:c r="C49" s="78"/>
      <x:c r="D49" s="78"/>
      <x:c r="E49" s="78"/>
      <x:c r="F49" s="78"/>
      <x:c r="G49" s="78"/>
      <x:c r="H49" s="78"/>
      <x:c r="I49" s="78"/>
      <x:c r="J49" s="78"/>
    </x:row>
    <x:row r="50">
      <x:c r="A50" s="78" t="str">
        <x:v>PRF-0045</x:v>
      </x:c>
      <x:c r="B50" s="78"/>
      <x:c r="C50" s="78"/>
      <x:c r="D50" s="78"/>
      <x:c r="E50" s="78"/>
      <x:c r="F50" s="78"/>
      <x:c r="G50" s="78"/>
      <x:c r="H50" s="78"/>
      <x:c r="I50" s="78"/>
      <x:c r="J50" s="78"/>
    </x:row>
    <x:row r="51">
      <x:c r="A51" s="78" t="str">
        <x:v>PRF-0046</x:v>
      </x:c>
      <x:c r="B51" s="78"/>
      <x:c r="C51" s="78"/>
      <x:c r="D51" s="78"/>
      <x:c r="E51" s="78"/>
      <x:c r="F51" s="78"/>
      <x:c r="G51" s="78"/>
      <x:c r="H51" s="78"/>
      <x:c r="I51" s="78"/>
      <x:c r="J51" s="78"/>
    </x:row>
    <x:row r="52">
      <x:c r="A52" s="78" t="str">
        <x:v>PRF-0047</x:v>
      </x:c>
      <x:c r="B52" s="78"/>
      <x:c r="C52" s="78"/>
      <x:c r="D52" s="78"/>
      <x:c r="E52" s="78"/>
      <x:c r="F52" s="78"/>
      <x:c r="G52" s="78"/>
      <x:c r="H52" s="78"/>
      <x:c r="I52" s="78"/>
      <x:c r="J52" s="78"/>
    </x:row>
    <x:row r="53">
      <x:c r="A53" s="78" t="str">
        <x:v>PRF-0048</x:v>
      </x:c>
      <x:c r="B53" s="78"/>
      <x:c r="C53" s="78"/>
      <x:c r="D53" s="78"/>
      <x:c r="E53" s="78"/>
      <x:c r="F53" s="78"/>
      <x:c r="G53" s="78"/>
      <x:c r="H53" s="78"/>
      <x:c r="I53" s="78"/>
      <x:c r="J53" s="78"/>
    </x:row>
    <x:row r="54">
      <x:c r="A54" s="78" t="str">
        <x:v>PRF-0049</x:v>
      </x:c>
      <x:c r="B54" s="78"/>
      <x:c r="C54" s="78"/>
      <x:c r="D54" s="78"/>
      <x:c r="E54" s="78"/>
      <x:c r="F54" s="78"/>
      <x:c r="G54" s="78"/>
      <x:c r="H54" s="78"/>
      <x:c r="I54" s="78"/>
      <x:c r="J54" s="78"/>
    </x:row>
    <x:row r="55">
      <x:c r="A55" s="79" t="str">
        <x:v>PRF-0050</x:v>
      </x:c>
      <x:c r="B55" s="79"/>
      <x:c r="C55" s="79"/>
      <x:c r="D55" s="79"/>
      <x:c r="E55" s="79"/>
      <x:c r="F55" s="79"/>
      <x:c r="G55" s="79"/>
      <x:c r="H55" s="79"/>
      <x:c r="I55" s="79"/>
      <x:c r="J55" s="79"/>
    </x:row>
  </x:sheetData>
  <x:mergeCells>
    <x:mergeCell ref="A1:J1"/>
    <x:mergeCell ref="A2:J3"/>
  </x:mergeCells>
  <x:conditionalFormatting sqref="I6:I55">
    <x:cfRule type="containsText" dxfId="16" priority="1" operator="containsText" text="offen"/>
    <x:cfRule type="containsText" dxfId="17" priority="2" operator="containsText" text="in Prüfung"/>
    <x:cfRule type="containsText" dxfId="18" priority="3" operator="containsText" text="erledigt"/>
  </x:conditionalFormatting>
  <x:dataValidations count="2">
    <x:dataValidation type="list" sqref="H6:H55">
      <x:formula1>"hoch,mittel,niedrig"</x:formula1>
    </x:dataValidation>
    <x:dataValidation type="list" sqref="I6:I55">
      <x:formula1>"offen,in Prüfung,erledigt"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9178bc785044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30" hidden="0" customWidth="1"/>
    <x:col min="5" max="5" width="12" hidden="0" customWidth="1"/>
    <x:col min="6" max="6" width="12" hidden="0" customWidth="1"/>
    <x:col min="7" max="7" width="18" hidden="0" customWidth="1"/>
    <x:col min="8" max="8" width="26" hidden="0" customWidth="1"/>
    <x:col min="9" max="9" width="14" hidden="0" customWidth="1"/>
    <x:col min="10" max="10" width="36" hidden="0" customWidth="1"/>
    <x:col min="11" max="11" width="20" hidden="0" customWidth="1"/>
    <x:col min="12" max="12" width="34" hidden="0" customWidth="1"/>
  </x:cols>
  <x:sheetData>
    <x:row r="1" ht="30" customHeight="1">
      <x:c r="A1" s="3" t="str">
        <x:v>Uploadmanifest DATEV Meine Steuern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18" t="str">
        <x:v>Nur eindeutig getrennte, erneut geöffnete und per SHA-256 geprüfte Dateien als 'bereit' kennzeichnen. Originaldateien niemals ersetzen.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20"/>
    </x:row>
    <x:row r="3" ht="24" customHeight="1">
      <x:c r="A3" s="21"/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3"/>
    </x:row>
    <x:row r="5" ht="32" customHeight="1">
      <x:c r="A5" s="69" t="str">
        <x:v>Upload-ID</x:v>
      </x:c>
      <x:c r="B5" s="69" t="str">
        <x:v>Upload-Dateiname</x:v>
      </x:c>
      <x:c r="C5" s="69" t="str">
        <x:v>Beleg-ID Original</x:v>
      </x:c>
      <x:c r="D5" s="69" t="str">
        <x:v>Originaldateiname</x:v>
      </x:c>
      <x:c r="E5" s="69" t="str">
        <x:v>Seite von</x:v>
      </x:c>
      <x:c r="F5" s="69" t="str">
        <x:v>Seite bis</x:v>
      </x:c>
      <x:c r="G5" s="69" t="str">
        <x:v>Person</x:v>
      </x:c>
      <x:c r="H5" s="69" t="str">
        <x:v>Thema/Anlage</x:v>
      </x:c>
      <x:c r="I5" s="69" t="str">
        <x:v>Objekt-ID</x:v>
      </x:c>
      <x:c r="J5" s="69" t="str">
        <x:v>SHA-256 Upload</x:v>
      </x:c>
      <x:c r="K5" s="69" t="str">
        <x:v>Status</x:v>
      </x:c>
      <x:c r="L5" s="69" t="str">
        <x:v>Hinweis</x:v>
      </x:c>
    </x:row>
    <x:row r="6">
      <x:c r="A6" s="77" t="str">
        <x:v>UPL-0001</x:v>
      </x:c>
      <x:c r="B6" s="77"/>
      <x:c r="C6" s="77"/>
      <x:c r="D6" s="77"/>
      <x:c r="E6" s="80"/>
      <x:c r="F6" s="80"/>
      <x:c r="G6" s="77"/>
      <x:c r="H6" s="77"/>
      <x:c r="I6" s="77"/>
      <x:c r="J6" s="77"/>
      <x:c r="K6" s="77"/>
      <x:c r="L6" s="77"/>
    </x:row>
    <x:row r="7">
      <x:c r="A7" s="78" t="str">
        <x:v>UPL-0002</x:v>
      </x:c>
      <x:c r="B7" s="78"/>
      <x:c r="C7" s="78"/>
      <x:c r="D7" s="78"/>
      <x:c r="E7" s="81"/>
      <x:c r="F7" s="81"/>
      <x:c r="G7" s="78"/>
      <x:c r="H7" s="78"/>
      <x:c r="I7" s="78"/>
      <x:c r="J7" s="78"/>
      <x:c r="K7" s="78"/>
      <x:c r="L7" s="78"/>
    </x:row>
    <x:row r="8">
      <x:c r="A8" s="78" t="str">
        <x:v>UPL-0003</x:v>
      </x:c>
      <x:c r="B8" s="78"/>
      <x:c r="C8" s="78"/>
      <x:c r="D8" s="78"/>
      <x:c r="E8" s="81"/>
      <x:c r="F8" s="81"/>
      <x:c r="G8" s="78"/>
      <x:c r="H8" s="78"/>
      <x:c r="I8" s="78"/>
      <x:c r="J8" s="78"/>
      <x:c r="K8" s="78"/>
      <x:c r="L8" s="78"/>
    </x:row>
    <x:row r="9">
      <x:c r="A9" s="78" t="str">
        <x:v>UPL-0004</x:v>
      </x:c>
      <x:c r="B9" s="78"/>
      <x:c r="C9" s="78"/>
      <x:c r="D9" s="78"/>
      <x:c r="E9" s="81"/>
      <x:c r="F9" s="81"/>
      <x:c r="G9" s="78"/>
      <x:c r="H9" s="78"/>
      <x:c r="I9" s="78"/>
      <x:c r="J9" s="78"/>
      <x:c r="K9" s="78"/>
      <x:c r="L9" s="78"/>
    </x:row>
    <x:row r="10">
      <x:c r="A10" s="78" t="str">
        <x:v>UPL-0005</x:v>
      </x:c>
      <x:c r="B10" s="78"/>
      <x:c r="C10" s="78"/>
      <x:c r="D10" s="78"/>
      <x:c r="E10" s="81"/>
      <x:c r="F10" s="81"/>
      <x:c r="G10" s="78"/>
      <x:c r="H10" s="78"/>
      <x:c r="I10" s="78"/>
      <x:c r="J10" s="78"/>
      <x:c r="K10" s="78"/>
      <x:c r="L10" s="78"/>
    </x:row>
    <x:row r="11">
      <x:c r="A11" s="78" t="str">
        <x:v>UPL-0006</x:v>
      </x:c>
      <x:c r="B11" s="78"/>
      <x:c r="C11" s="78"/>
      <x:c r="D11" s="78"/>
      <x:c r="E11" s="81"/>
      <x:c r="F11" s="81"/>
      <x:c r="G11" s="78"/>
      <x:c r="H11" s="78"/>
      <x:c r="I11" s="78"/>
      <x:c r="J11" s="78"/>
      <x:c r="K11" s="78"/>
      <x:c r="L11" s="78"/>
    </x:row>
    <x:row r="12">
      <x:c r="A12" s="78" t="str">
        <x:v>UPL-0007</x:v>
      </x:c>
      <x:c r="B12" s="78"/>
      <x:c r="C12" s="78"/>
      <x:c r="D12" s="78"/>
      <x:c r="E12" s="81"/>
      <x:c r="F12" s="81"/>
      <x:c r="G12" s="78"/>
      <x:c r="H12" s="78"/>
      <x:c r="I12" s="78"/>
      <x:c r="J12" s="78"/>
      <x:c r="K12" s="78"/>
      <x:c r="L12" s="78"/>
    </x:row>
    <x:row r="13">
      <x:c r="A13" s="78" t="str">
        <x:v>UPL-0008</x:v>
      </x:c>
      <x:c r="B13" s="78"/>
      <x:c r="C13" s="78"/>
      <x:c r="D13" s="78"/>
      <x:c r="E13" s="81"/>
      <x:c r="F13" s="81"/>
      <x:c r="G13" s="78"/>
      <x:c r="H13" s="78"/>
      <x:c r="I13" s="78"/>
      <x:c r="J13" s="78"/>
      <x:c r="K13" s="78"/>
      <x:c r="L13" s="78"/>
    </x:row>
    <x:row r="14">
      <x:c r="A14" s="78" t="str">
        <x:v>UPL-0009</x:v>
      </x:c>
      <x:c r="B14" s="78"/>
      <x:c r="C14" s="78"/>
      <x:c r="D14" s="78"/>
      <x:c r="E14" s="81"/>
      <x:c r="F14" s="81"/>
      <x:c r="G14" s="78"/>
      <x:c r="H14" s="78"/>
      <x:c r="I14" s="78"/>
      <x:c r="J14" s="78"/>
      <x:c r="K14" s="78"/>
      <x:c r="L14" s="78"/>
    </x:row>
    <x:row r="15">
      <x:c r="A15" s="78" t="str">
        <x:v>UPL-0010</x:v>
      </x:c>
      <x:c r="B15" s="78"/>
      <x:c r="C15" s="78"/>
      <x:c r="D15" s="78"/>
      <x:c r="E15" s="81"/>
      <x:c r="F15" s="81"/>
      <x:c r="G15" s="78"/>
      <x:c r="H15" s="78"/>
      <x:c r="I15" s="78"/>
      <x:c r="J15" s="78"/>
      <x:c r="K15" s="78"/>
      <x:c r="L15" s="78"/>
    </x:row>
    <x:row r="16">
      <x:c r="A16" s="78" t="str">
        <x:v>UPL-0011</x:v>
      </x:c>
      <x:c r="B16" s="78"/>
      <x:c r="C16" s="78"/>
      <x:c r="D16" s="78"/>
      <x:c r="E16" s="81"/>
      <x:c r="F16" s="81"/>
      <x:c r="G16" s="78"/>
      <x:c r="H16" s="78"/>
      <x:c r="I16" s="78"/>
      <x:c r="J16" s="78"/>
      <x:c r="K16" s="78"/>
      <x:c r="L16" s="78"/>
    </x:row>
    <x:row r="17">
      <x:c r="A17" s="78" t="str">
        <x:v>UPL-0012</x:v>
      </x:c>
      <x:c r="B17" s="78"/>
      <x:c r="C17" s="78"/>
      <x:c r="D17" s="78"/>
      <x:c r="E17" s="81"/>
      <x:c r="F17" s="81"/>
      <x:c r="G17" s="78"/>
      <x:c r="H17" s="78"/>
      <x:c r="I17" s="78"/>
      <x:c r="J17" s="78"/>
      <x:c r="K17" s="78"/>
      <x:c r="L17" s="78"/>
    </x:row>
    <x:row r="18">
      <x:c r="A18" s="78" t="str">
        <x:v>UPL-0013</x:v>
      </x:c>
      <x:c r="B18" s="78"/>
      <x:c r="C18" s="78"/>
      <x:c r="D18" s="78"/>
      <x:c r="E18" s="81"/>
      <x:c r="F18" s="81"/>
      <x:c r="G18" s="78"/>
      <x:c r="H18" s="78"/>
      <x:c r="I18" s="78"/>
      <x:c r="J18" s="78"/>
      <x:c r="K18" s="78"/>
      <x:c r="L18" s="78"/>
    </x:row>
    <x:row r="19">
      <x:c r="A19" s="78" t="str">
        <x:v>UPL-0014</x:v>
      </x:c>
      <x:c r="B19" s="78"/>
      <x:c r="C19" s="78"/>
      <x:c r="D19" s="78"/>
      <x:c r="E19" s="81"/>
      <x:c r="F19" s="81"/>
      <x:c r="G19" s="78"/>
      <x:c r="H19" s="78"/>
      <x:c r="I19" s="78"/>
      <x:c r="J19" s="78"/>
      <x:c r="K19" s="78"/>
      <x:c r="L19" s="78"/>
    </x:row>
    <x:row r="20">
      <x:c r="A20" s="78" t="str">
        <x:v>UPL-0015</x:v>
      </x:c>
      <x:c r="B20" s="78"/>
      <x:c r="C20" s="78"/>
      <x:c r="D20" s="78"/>
      <x:c r="E20" s="81"/>
      <x:c r="F20" s="81"/>
      <x:c r="G20" s="78"/>
      <x:c r="H20" s="78"/>
      <x:c r="I20" s="78"/>
      <x:c r="J20" s="78"/>
      <x:c r="K20" s="78"/>
      <x:c r="L20" s="78"/>
    </x:row>
    <x:row r="21">
      <x:c r="A21" s="78" t="str">
        <x:v>UPL-0016</x:v>
      </x:c>
      <x:c r="B21" s="78"/>
      <x:c r="C21" s="78"/>
      <x:c r="D21" s="78"/>
      <x:c r="E21" s="81"/>
      <x:c r="F21" s="81"/>
      <x:c r="G21" s="78"/>
      <x:c r="H21" s="78"/>
      <x:c r="I21" s="78"/>
      <x:c r="J21" s="78"/>
      <x:c r="K21" s="78"/>
      <x:c r="L21" s="78"/>
    </x:row>
    <x:row r="22">
      <x:c r="A22" s="78" t="str">
        <x:v>UPL-0017</x:v>
      </x:c>
      <x:c r="B22" s="78"/>
      <x:c r="C22" s="78"/>
      <x:c r="D22" s="78"/>
      <x:c r="E22" s="81"/>
      <x:c r="F22" s="81"/>
      <x:c r="G22" s="78"/>
      <x:c r="H22" s="78"/>
      <x:c r="I22" s="78"/>
      <x:c r="J22" s="78"/>
      <x:c r="K22" s="78"/>
      <x:c r="L22" s="78"/>
    </x:row>
    <x:row r="23">
      <x:c r="A23" s="78" t="str">
        <x:v>UPL-0018</x:v>
      </x:c>
      <x:c r="B23" s="78"/>
      <x:c r="C23" s="78"/>
      <x:c r="D23" s="78"/>
      <x:c r="E23" s="81"/>
      <x:c r="F23" s="81"/>
      <x:c r="G23" s="78"/>
      <x:c r="H23" s="78"/>
      <x:c r="I23" s="78"/>
      <x:c r="J23" s="78"/>
      <x:c r="K23" s="78"/>
      <x:c r="L23" s="78"/>
    </x:row>
    <x:row r="24">
      <x:c r="A24" s="78" t="str">
        <x:v>UPL-0019</x:v>
      </x:c>
      <x:c r="B24" s="78"/>
      <x:c r="C24" s="78"/>
      <x:c r="D24" s="78"/>
      <x:c r="E24" s="81"/>
      <x:c r="F24" s="81"/>
      <x:c r="G24" s="78"/>
      <x:c r="H24" s="78"/>
      <x:c r="I24" s="78"/>
      <x:c r="J24" s="78"/>
      <x:c r="K24" s="78"/>
      <x:c r="L24" s="78"/>
    </x:row>
    <x:row r="25">
      <x:c r="A25" s="78" t="str">
        <x:v>UPL-0020</x:v>
      </x:c>
      <x:c r="B25" s="78"/>
      <x:c r="C25" s="78"/>
      <x:c r="D25" s="78"/>
      <x:c r="E25" s="81"/>
      <x:c r="F25" s="81"/>
      <x:c r="G25" s="78"/>
      <x:c r="H25" s="78"/>
      <x:c r="I25" s="78"/>
      <x:c r="J25" s="78"/>
      <x:c r="K25" s="78"/>
      <x:c r="L25" s="78"/>
    </x:row>
    <x:row r="26">
      <x:c r="A26" s="78" t="str">
        <x:v>UPL-0021</x:v>
      </x:c>
      <x:c r="B26" s="78"/>
      <x:c r="C26" s="78"/>
      <x:c r="D26" s="78"/>
      <x:c r="E26" s="81"/>
      <x:c r="F26" s="81"/>
      <x:c r="G26" s="78"/>
      <x:c r="H26" s="78"/>
      <x:c r="I26" s="78"/>
      <x:c r="J26" s="78"/>
      <x:c r="K26" s="78"/>
      <x:c r="L26" s="78"/>
    </x:row>
    <x:row r="27">
      <x:c r="A27" s="78" t="str">
        <x:v>UPL-0022</x:v>
      </x:c>
      <x:c r="B27" s="78"/>
      <x:c r="C27" s="78"/>
      <x:c r="D27" s="78"/>
      <x:c r="E27" s="81"/>
      <x:c r="F27" s="81"/>
      <x:c r="G27" s="78"/>
      <x:c r="H27" s="78"/>
      <x:c r="I27" s="78"/>
      <x:c r="J27" s="78"/>
      <x:c r="K27" s="78"/>
      <x:c r="L27" s="78"/>
    </x:row>
    <x:row r="28">
      <x:c r="A28" s="78" t="str">
        <x:v>UPL-0023</x:v>
      </x:c>
      <x:c r="B28" s="78"/>
      <x:c r="C28" s="78"/>
      <x:c r="D28" s="78"/>
      <x:c r="E28" s="81"/>
      <x:c r="F28" s="81"/>
      <x:c r="G28" s="78"/>
      <x:c r="H28" s="78"/>
      <x:c r="I28" s="78"/>
      <x:c r="J28" s="78"/>
      <x:c r="K28" s="78"/>
      <x:c r="L28" s="78"/>
    </x:row>
    <x:row r="29">
      <x:c r="A29" s="78" t="str">
        <x:v>UPL-0024</x:v>
      </x:c>
      <x:c r="B29" s="78"/>
      <x:c r="C29" s="78"/>
      <x:c r="D29" s="78"/>
      <x:c r="E29" s="81"/>
      <x:c r="F29" s="81"/>
      <x:c r="G29" s="78"/>
      <x:c r="H29" s="78"/>
      <x:c r="I29" s="78"/>
      <x:c r="J29" s="78"/>
      <x:c r="K29" s="78"/>
      <x:c r="L29" s="78"/>
    </x:row>
    <x:row r="30">
      <x:c r="A30" s="78" t="str">
        <x:v>UPL-0025</x:v>
      </x:c>
      <x:c r="B30" s="78"/>
      <x:c r="C30" s="78"/>
      <x:c r="D30" s="78"/>
      <x:c r="E30" s="81"/>
      <x:c r="F30" s="81"/>
      <x:c r="G30" s="78"/>
      <x:c r="H30" s="78"/>
      <x:c r="I30" s="78"/>
      <x:c r="J30" s="78"/>
      <x:c r="K30" s="78"/>
      <x:c r="L30" s="78"/>
    </x:row>
    <x:row r="31">
      <x:c r="A31" s="78" t="str">
        <x:v>UPL-0026</x:v>
      </x:c>
      <x:c r="B31" s="78"/>
      <x:c r="C31" s="78"/>
      <x:c r="D31" s="78"/>
      <x:c r="E31" s="81"/>
      <x:c r="F31" s="81"/>
      <x:c r="G31" s="78"/>
      <x:c r="H31" s="78"/>
      <x:c r="I31" s="78"/>
      <x:c r="J31" s="78"/>
      <x:c r="K31" s="78"/>
      <x:c r="L31" s="78"/>
    </x:row>
    <x:row r="32">
      <x:c r="A32" s="78" t="str">
        <x:v>UPL-0027</x:v>
      </x:c>
      <x:c r="B32" s="78"/>
      <x:c r="C32" s="78"/>
      <x:c r="D32" s="78"/>
      <x:c r="E32" s="81"/>
      <x:c r="F32" s="81"/>
      <x:c r="G32" s="78"/>
      <x:c r="H32" s="78"/>
      <x:c r="I32" s="78"/>
      <x:c r="J32" s="78"/>
      <x:c r="K32" s="78"/>
      <x:c r="L32" s="78"/>
    </x:row>
    <x:row r="33">
      <x:c r="A33" s="78" t="str">
        <x:v>UPL-0028</x:v>
      </x:c>
      <x:c r="B33" s="78"/>
      <x:c r="C33" s="78"/>
      <x:c r="D33" s="78"/>
      <x:c r="E33" s="81"/>
      <x:c r="F33" s="81"/>
      <x:c r="G33" s="78"/>
      <x:c r="H33" s="78"/>
      <x:c r="I33" s="78"/>
      <x:c r="J33" s="78"/>
      <x:c r="K33" s="78"/>
      <x:c r="L33" s="78"/>
    </x:row>
    <x:row r="34">
      <x:c r="A34" s="78" t="str">
        <x:v>UPL-0029</x:v>
      </x:c>
      <x:c r="B34" s="78"/>
      <x:c r="C34" s="78"/>
      <x:c r="D34" s="78"/>
      <x:c r="E34" s="81"/>
      <x:c r="F34" s="81"/>
      <x:c r="G34" s="78"/>
      <x:c r="H34" s="78"/>
      <x:c r="I34" s="78"/>
      <x:c r="J34" s="78"/>
      <x:c r="K34" s="78"/>
      <x:c r="L34" s="78"/>
    </x:row>
    <x:row r="35">
      <x:c r="A35" s="78" t="str">
        <x:v>UPL-0030</x:v>
      </x:c>
      <x:c r="B35" s="78"/>
      <x:c r="C35" s="78"/>
      <x:c r="D35" s="78"/>
      <x:c r="E35" s="81"/>
      <x:c r="F35" s="81"/>
      <x:c r="G35" s="78"/>
      <x:c r="H35" s="78"/>
      <x:c r="I35" s="78"/>
      <x:c r="J35" s="78"/>
      <x:c r="K35" s="78"/>
      <x:c r="L35" s="78"/>
    </x:row>
    <x:row r="36">
      <x:c r="A36" s="78" t="str">
        <x:v>UPL-0031</x:v>
      </x:c>
      <x:c r="B36" s="78"/>
      <x:c r="C36" s="78"/>
      <x:c r="D36" s="78"/>
      <x:c r="E36" s="81"/>
      <x:c r="F36" s="81"/>
      <x:c r="G36" s="78"/>
      <x:c r="H36" s="78"/>
      <x:c r="I36" s="78"/>
      <x:c r="J36" s="78"/>
      <x:c r="K36" s="78"/>
      <x:c r="L36" s="78"/>
    </x:row>
    <x:row r="37">
      <x:c r="A37" s="78" t="str">
        <x:v>UPL-0032</x:v>
      </x:c>
      <x:c r="B37" s="78"/>
      <x:c r="C37" s="78"/>
      <x:c r="D37" s="78"/>
      <x:c r="E37" s="81"/>
      <x:c r="F37" s="81"/>
      <x:c r="G37" s="78"/>
      <x:c r="H37" s="78"/>
      <x:c r="I37" s="78"/>
      <x:c r="J37" s="78"/>
      <x:c r="K37" s="78"/>
      <x:c r="L37" s="78"/>
    </x:row>
    <x:row r="38">
      <x:c r="A38" s="78" t="str">
        <x:v>UPL-0033</x:v>
      </x:c>
      <x:c r="B38" s="78"/>
      <x:c r="C38" s="78"/>
      <x:c r="D38" s="78"/>
      <x:c r="E38" s="81"/>
      <x:c r="F38" s="81"/>
      <x:c r="G38" s="78"/>
      <x:c r="H38" s="78"/>
      <x:c r="I38" s="78"/>
      <x:c r="J38" s="78"/>
      <x:c r="K38" s="78"/>
      <x:c r="L38" s="78"/>
    </x:row>
    <x:row r="39">
      <x:c r="A39" s="78" t="str">
        <x:v>UPL-0034</x:v>
      </x:c>
      <x:c r="B39" s="78"/>
      <x:c r="C39" s="78"/>
      <x:c r="D39" s="78"/>
      <x:c r="E39" s="81"/>
      <x:c r="F39" s="81"/>
      <x:c r="G39" s="78"/>
      <x:c r="H39" s="78"/>
      <x:c r="I39" s="78"/>
      <x:c r="J39" s="78"/>
      <x:c r="K39" s="78"/>
      <x:c r="L39" s="78"/>
    </x:row>
    <x:row r="40">
      <x:c r="A40" s="78" t="str">
        <x:v>UPL-0035</x:v>
      </x:c>
      <x:c r="B40" s="78"/>
      <x:c r="C40" s="78"/>
      <x:c r="D40" s="78"/>
      <x:c r="E40" s="81"/>
      <x:c r="F40" s="81"/>
      <x:c r="G40" s="78"/>
      <x:c r="H40" s="78"/>
      <x:c r="I40" s="78"/>
      <x:c r="J40" s="78"/>
      <x:c r="K40" s="78"/>
      <x:c r="L40" s="78"/>
    </x:row>
    <x:row r="41">
      <x:c r="A41" s="78" t="str">
        <x:v>UPL-0036</x:v>
      </x:c>
      <x:c r="B41" s="78"/>
      <x:c r="C41" s="78"/>
      <x:c r="D41" s="78"/>
      <x:c r="E41" s="81"/>
      <x:c r="F41" s="81"/>
      <x:c r="G41" s="78"/>
      <x:c r="H41" s="78"/>
      <x:c r="I41" s="78"/>
      <x:c r="J41" s="78"/>
      <x:c r="K41" s="78"/>
      <x:c r="L41" s="78"/>
    </x:row>
    <x:row r="42">
      <x:c r="A42" s="78" t="str">
        <x:v>UPL-0037</x:v>
      </x:c>
      <x:c r="B42" s="78"/>
      <x:c r="C42" s="78"/>
      <x:c r="D42" s="78"/>
      <x:c r="E42" s="81"/>
      <x:c r="F42" s="81"/>
      <x:c r="G42" s="78"/>
      <x:c r="H42" s="78"/>
      <x:c r="I42" s="78"/>
      <x:c r="J42" s="78"/>
      <x:c r="K42" s="78"/>
      <x:c r="L42" s="78"/>
    </x:row>
    <x:row r="43">
      <x:c r="A43" s="78" t="str">
        <x:v>UPL-0038</x:v>
      </x:c>
      <x:c r="B43" s="78"/>
      <x:c r="C43" s="78"/>
      <x:c r="D43" s="78"/>
      <x:c r="E43" s="81"/>
      <x:c r="F43" s="81"/>
      <x:c r="G43" s="78"/>
      <x:c r="H43" s="78"/>
      <x:c r="I43" s="78"/>
      <x:c r="J43" s="78"/>
      <x:c r="K43" s="78"/>
      <x:c r="L43" s="78"/>
    </x:row>
    <x:row r="44">
      <x:c r="A44" s="78" t="str">
        <x:v>UPL-0039</x:v>
      </x:c>
      <x:c r="B44" s="78"/>
      <x:c r="C44" s="78"/>
      <x:c r="D44" s="78"/>
      <x:c r="E44" s="81"/>
      <x:c r="F44" s="81"/>
      <x:c r="G44" s="78"/>
      <x:c r="H44" s="78"/>
      <x:c r="I44" s="78"/>
      <x:c r="J44" s="78"/>
      <x:c r="K44" s="78"/>
      <x:c r="L44" s="78"/>
    </x:row>
    <x:row r="45">
      <x:c r="A45" s="78" t="str">
        <x:v>UPL-0040</x:v>
      </x:c>
      <x:c r="B45" s="78"/>
      <x:c r="C45" s="78"/>
      <x:c r="D45" s="78"/>
      <x:c r="E45" s="81"/>
      <x:c r="F45" s="81"/>
      <x:c r="G45" s="78"/>
      <x:c r="H45" s="78"/>
      <x:c r="I45" s="78"/>
      <x:c r="J45" s="78"/>
      <x:c r="K45" s="78"/>
      <x:c r="L45" s="78"/>
    </x:row>
    <x:row r="46">
      <x:c r="A46" s="78" t="str">
        <x:v>UPL-0041</x:v>
      </x:c>
      <x:c r="B46" s="78"/>
      <x:c r="C46" s="78"/>
      <x:c r="D46" s="78"/>
      <x:c r="E46" s="81"/>
      <x:c r="F46" s="81"/>
      <x:c r="G46" s="78"/>
      <x:c r="H46" s="78"/>
      <x:c r="I46" s="78"/>
      <x:c r="J46" s="78"/>
      <x:c r="K46" s="78"/>
      <x:c r="L46" s="78"/>
    </x:row>
    <x:row r="47">
      <x:c r="A47" s="78" t="str">
        <x:v>UPL-0042</x:v>
      </x:c>
      <x:c r="B47" s="78"/>
      <x:c r="C47" s="78"/>
      <x:c r="D47" s="78"/>
      <x:c r="E47" s="81"/>
      <x:c r="F47" s="81"/>
      <x:c r="G47" s="78"/>
      <x:c r="H47" s="78"/>
      <x:c r="I47" s="78"/>
      <x:c r="J47" s="78"/>
      <x:c r="K47" s="78"/>
      <x:c r="L47" s="78"/>
    </x:row>
    <x:row r="48">
      <x:c r="A48" s="78" t="str">
        <x:v>UPL-0043</x:v>
      </x:c>
      <x:c r="B48" s="78"/>
      <x:c r="C48" s="78"/>
      <x:c r="D48" s="78"/>
      <x:c r="E48" s="81"/>
      <x:c r="F48" s="81"/>
      <x:c r="G48" s="78"/>
      <x:c r="H48" s="78"/>
      <x:c r="I48" s="78"/>
      <x:c r="J48" s="78"/>
      <x:c r="K48" s="78"/>
      <x:c r="L48" s="78"/>
    </x:row>
    <x:row r="49">
      <x:c r="A49" s="78" t="str">
        <x:v>UPL-0044</x:v>
      </x:c>
      <x:c r="B49" s="78"/>
      <x:c r="C49" s="78"/>
      <x:c r="D49" s="78"/>
      <x:c r="E49" s="81"/>
      <x:c r="F49" s="81"/>
      <x:c r="G49" s="78"/>
      <x:c r="H49" s="78"/>
      <x:c r="I49" s="78"/>
      <x:c r="J49" s="78"/>
      <x:c r="K49" s="78"/>
      <x:c r="L49" s="78"/>
    </x:row>
    <x:row r="50">
      <x:c r="A50" s="78" t="str">
        <x:v>UPL-0045</x:v>
      </x:c>
      <x:c r="B50" s="78"/>
      <x:c r="C50" s="78"/>
      <x:c r="D50" s="78"/>
      <x:c r="E50" s="81"/>
      <x:c r="F50" s="81"/>
      <x:c r="G50" s="78"/>
      <x:c r="H50" s="78"/>
      <x:c r="I50" s="78"/>
      <x:c r="J50" s="78"/>
      <x:c r="K50" s="78"/>
      <x:c r="L50" s="78"/>
    </x:row>
    <x:row r="51">
      <x:c r="A51" s="78" t="str">
        <x:v>UPL-0046</x:v>
      </x:c>
      <x:c r="B51" s="78"/>
      <x:c r="C51" s="78"/>
      <x:c r="D51" s="78"/>
      <x:c r="E51" s="81"/>
      <x:c r="F51" s="81"/>
      <x:c r="G51" s="78"/>
      <x:c r="H51" s="78"/>
      <x:c r="I51" s="78"/>
      <x:c r="J51" s="78"/>
      <x:c r="K51" s="78"/>
      <x:c r="L51" s="78"/>
    </x:row>
    <x:row r="52">
      <x:c r="A52" s="78" t="str">
        <x:v>UPL-0047</x:v>
      </x:c>
      <x:c r="B52" s="78"/>
      <x:c r="C52" s="78"/>
      <x:c r="D52" s="78"/>
      <x:c r="E52" s="81"/>
      <x:c r="F52" s="81"/>
      <x:c r="G52" s="78"/>
      <x:c r="H52" s="78"/>
      <x:c r="I52" s="78"/>
      <x:c r="J52" s="78"/>
      <x:c r="K52" s="78"/>
      <x:c r="L52" s="78"/>
    </x:row>
    <x:row r="53">
      <x:c r="A53" s="78" t="str">
        <x:v>UPL-0048</x:v>
      </x:c>
      <x:c r="B53" s="78"/>
      <x:c r="C53" s="78"/>
      <x:c r="D53" s="78"/>
      <x:c r="E53" s="81"/>
      <x:c r="F53" s="81"/>
      <x:c r="G53" s="78"/>
      <x:c r="H53" s="78"/>
      <x:c r="I53" s="78"/>
      <x:c r="J53" s="78"/>
      <x:c r="K53" s="78"/>
      <x:c r="L53" s="78"/>
    </x:row>
    <x:row r="54">
      <x:c r="A54" s="78" t="str">
        <x:v>UPL-0049</x:v>
      </x:c>
      <x:c r="B54" s="78"/>
      <x:c r="C54" s="78"/>
      <x:c r="D54" s="78"/>
      <x:c r="E54" s="81"/>
      <x:c r="F54" s="81"/>
      <x:c r="G54" s="78"/>
      <x:c r="H54" s="78"/>
      <x:c r="I54" s="78"/>
      <x:c r="J54" s="78"/>
      <x:c r="K54" s="78"/>
      <x:c r="L54" s="78"/>
    </x:row>
    <x:row r="55">
      <x:c r="A55" s="79" t="str">
        <x:v>UPL-0050</x:v>
      </x:c>
      <x:c r="B55" s="79"/>
      <x:c r="C55" s="79"/>
      <x:c r="D55" s="79"/>
      <x:c r="E55" s="82"/>
      <x:c r="F55" s="82"/>
      <x:c r="G55" s="79"/>
      <x:c r="H55" s="79"/>
      <x:c r="I55" s="79"/>
      <x:c r="J55" s="79"/>
      <x:c r="K55" s="79"/>
      <x:c r="L55" s="79"/>
    </x:row>
  </x:sheetData>
  <x:mergeCells>
    <x:mergeCell ref="A1:L1"/>
    <x:mergeCell ref="A2:L3"/>
  </x:mergeCells>
  <x:conditionalFormatting sqref="K6:K55">
    <x:cfRule type="containsText" dxfId="19" priority="1" operator="containsText" text="bereit"/>
    <x:cfRule type="containsText" dxfId="20" priority="2" operator="containsText" text="prüfen"/>
    <x:cfRule type="containsText" dxfId="21" priority="3" operator="containsText" text="nachfordern"/>
    <x:cfRule type="containsText" dxfId="22" priority="4" operator="containsText" text="nicht verarbeitet"/>
  </x:conditionalFormatting>
  <x:dataValidations count="1">
    <x:dataValidation type="list" sqref="K6:K55">
      <x:formula1>"bereit,prüfen,nachfordern,nicht verarbeitet"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fd182ddfcf4f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28" hidden="0" customWidth="1"/>
    <x:col min="5" max="5" width="20" hidden="0" customWidth="1"/>
    <x:col min="6" max="6" width="26" hidden="0" customWidth="1"/>
  </x:cols>
  <x:sheetData>
    <x:row r="1" ht="30" customHeight="1">
      <x:c r="A1" s="3" t="str">
        <x:v>Auswahllisten und Begriffe</x:v>
      </x:c>
      <x:c r="B1" s="3"/>
      <x:c r="C1" s="3"/>
      <x:c r="D1" s="3"/>
      <x:c r="E1" s="3"/>
      <x:c r="F1" s="3"/>
    </x:row>
    <x:row r="2" ht="24" customHeight="1">
      <x:c r="A2" s="18" t="str">
        <x:v>Diese Werte definieren die zulässigen Status- und Klassifikationsbegriffe. Änderungen nur abgestimmt vornehmen.</x:v>
      </x:c>
      <x:c r="B2" s="19"/>
      <x:c r="C2" s="19"/>
      <x:c r="D2" s="19"/>
      <x:c r="E2" s="19"/>
      <x:c r="F2" s="20"/>
    </x:row>
    <x:row r="3" ht="24" customHeight="1">
      <x:c r="A3" s="21"/>
      <x:c r="B3" s="22"/>
      <x:c r="C3" s="22"/>
      <x:c r="D3" s="22"/>
      <x:c r="E3" s="22"/>
      <x:c r="F3" s="23"/>
    </x:row>
    <x:row r="5" ht="32" customHeight="1">
      <x:c r="A5" s="69" t="str">
        <x:v>Bearbeitungsstatus</x:v>
      </x:c>
      <x:c r="B5" s="69" t="str">
        <x:v>Prüffallstatus</x:v>
      </x:c>
      <x:c r="C5" s="69" t="str">
        <x:v>Priorität</x:v>
      </x:c>
      <x:c r="D5" s="69" t="str">
        <x:v>Vorjahresklassifikation</x:v>
      </x:c>
      <x:c r="E5" s="69" t="str">
        <x:v>Ja/Nein/Prüfen</x:v>
      </x:c>
      <x:c r="F5" s="69" t="str">
        <x:v>Belegkanal</x:v>
      </x:c>
    </x:row>
    <x:row r="6">
      <x:c r="A6" s="77" t="str">
        <x:v>bereit</x:v>
      </x:c>
      <x:c r="B6" s="77" t="str">
        <x:v>offen</x:v>
      </x:c>
      <x:c r="C6" s="77" t="str">
        <x:v>hoch</x:v>
      </x:c>
      <x:c r="D6" s="77" t="str">
        <x:v>fortgeführt</x:v>
      </x:c>
      <x:c r="E6" s="77" t="str">
        <x:v>ja</x:v>
      </x:c>
      <x:c r="F6" s="77" t="str">
        <x:v>DATEV Meine Steuern</x:v>
      </x:c>
    </x:row>
    <x:row r="7">
      <x:c r="A7" s="78" t="str">
        <x:v>prüfen</x:v>
      </x:c>
      <x:c r="B7" s="78" t="str">
        <x:v>in Prüfung</x:v>
      </x:c>
      <x:c r="C7" s="78" t="str">
        <x:v>mittel</x:v>
      </x:c>
      <x:c r="D7" s="78" t="str">
        <x:v>geändert</x:v>
      </x:c>
      <x:c r="E7" s="78" t="str">
        <x:v>nein</x:v>
      </x:c>
      <x:c r="F7" s="78" t="str"/>
    </x:row>
    <x:row r="8">
      <x:c r="A8" s="78" t="str">
        <x:v>nachfordern</x:v>
      </x:c>
      <x:c r="B8" s="78" t="str">
        <x:v>erledigt</x:v>
      </x:c>
      <x:c r="C8" s="78" t="str">
        <x:v>niedrig</x:v>
      </x:c>
      <x:c r="D8" s="78" t="str">
        <x:v>weggefallen</x:v>
      </x:c>
      <x:c r="E8" s="78" t="str">
        <x:v>prüfen</x:v>
      </x:c>
      <x:c r="F8" s="78" t="str"/>
    </x:row>
    <x:row r="9">
      <x:c r="A9" s="78" t="str">
        <x:v>nicht verarbeitet</x:v>
      </x:c>
      <x:c r="B9" s="78" t="str"/>
      <x:c r="C9" s="78" t="str"/>
      <x:c r="D9" s="78" t="str">
        <x:v>neu</x:v>
      </x:c>
      <x:c r="E9" s="78" t="str"/>
      <x:c r="F9" s="78" t="str"/>
    </x:row>
    <x:row r="10">
      <x:c r="A10" s="78" t="str"/>
      <x:c r="B10" s="78" t="str"/>
      <x:c r="C10" s="78" t="str"/>
      <x:c r="D10" s="78" t="str">
        <x:v>ungeklärt</x:v>
      </x:c>
      <x:c r="E10" s="78" t="str"/>
      <x:c r="F10" s="78" t="str"/>
    </x:row>
    <x:row r="11">
      <x:c r="A11" s="79" t="str"/>
      <x:c r="B11" s="79" t="str"/>
      <x:c r="C11" s="79" t="str"/>
      <x:c r="D11" s="79" t="str"/>
      <x:c r="E11" s="79" t="str"/>
      <x:c r="F11" s="79" t="str"/>
    </x:row>
  </x:sheetData>
  <x:mergeCells>
    <x:mergeCell ref="A1:F1"/>
    <x:mergeCell ref="A2:F3"/>
  </x:mergeCells>
  <x:pageMargins left="0.7" right="0.7" top="0.75" bottom="0.75" header="0.3" footer="0.3"/>
</x:worksheet>
</file>